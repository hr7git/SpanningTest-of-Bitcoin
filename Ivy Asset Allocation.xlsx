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p\Dropbox\ak2424\KD\1. SRP\r_test_0213\"/>
    </mc:Choice>
  </mc:AlternateContent>
  <xr:revisionPtr revIDLastSave="0" documentId="13_ncr:1_{4CC8AE5F-FA5D-4730-900A-5DE956494B83}" xr6:coauthVersionLast="47" xr6:coauthVersionMax="47" xr10:uidLastSave="{00000000-0000-0000-0000-000000000000}"/>
  <bookViews>
    <workbookView xWindow="-28800" yWindow="135" windowWidth="30120" windowHeight="16665" activeTab="3" xr2:uid="{00000000-000D-0000-FFFF-FFFF00000000}"/>
  </bookViews>
  <sheets>
    <sheet name="ivy10" sheetId="2" r:id="rId1"/>
    <sheet name="yale" sheetId="3" r:id="rId2"/>
    <sheet name="harvard" sheetId="4" r:id="rId3"/>
    <sheet name="test" sheetId="5" r:id="rId4"/>
    <sheet name="Sheet2" sheetId="7" r:id="rId5"/>
    <sheet name="Sheet1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<sst xmlns="http://schemas.openxmlformats.org/spreadsheetml/2006/main" count="208" uniqueCount="99">
  <si>
    <t>Portfolio Components</t>
  </si>
  <si>
    <t>Asset Class</t>
  </si>
  <si>
    <t>Ticker</t>
  </si>
  <si>
    <t>Explanation</t>
  </si>
  <si>
    <t>Total Stock Market</t>
  </si>
  <si>
    <t>Stock</t>
  </si>
  <si>
    <t>VTI</t>
  </si>
  <si>
    <t>Vanguard Total Stock Market ETF</t>
  </si>
  <si>
    <t>U.S. Large Cap</t>
  </si>
  <si>
    <t>VV</t>
  </si>
  <si>
    <t>Vanguard Large-Cap ETF</t>
  </si>
  <si>
    <t>U.S. Small Cap</t>
  </si>
  <si>
    <t>VB</t>
  </si>
  <si>
    <t>Vanguard Small-Cap ETF</t>
  </si>
  <si>
    <t>International Developed Blend</t>
  </si>
  <si>
    <t>IDHQ</t>
  </si>
  <si>
    <t>Invesco S&amp;P International Developed Quality ETF</t>
  </si>
  <si>
    <t>Emerging Markets</t>
  </si>
  <si>
    <t>VWO</t>
  </si>
  <si>
    <t>Vanguard FTSE Emerging Markets ETF</t>
  </si>
  <si>
    <t>Total U.S. Bond Fund</t>
  </si>
  <si>
    <t>Bond</t>
  </si>
  <si>
    <t>BND</t>
  </si>
  <si>
    <t>Vanguard Total Bond Market ETF</t>
  </si>
  <si>
    <t>TIPS</t>
  </si>
  <si>
    <t>TIP</t>
  </si>
  <si>
    <t>iShares TIPS Bond ETF</t>
  </si>
  <si>
    <t>Commodities</t>
  </si>
  <si>
    <t>GSG</t>
  </si>
  <si>
    <t>iShares S&amp;P GSCI Commodity Indexed Trust</t>
  </si>
  <si>
    <t>REITs</t>
  </si>
  <si>
    <t>Real Estate</t>
  </si>
  <si>
    <t>VNQ</t>
  </si>
  <si>
    <t>Vanguard Real Estate ETF</t>
  </si>
  <si>
    <t>International REITs</t>
  </si>
  <si>
    <t>VNQI</t>
  </si>
  <si>
    <t>Vanguard Global ex-U.S. Real Estate ETF</t>
  </si>
  <si>
    <t xml:space="preserve">  Asset Class |Ratio |Ticker |ETF Explanation</t>
  </si>
  <si>
    <t xml:space="preserve"> :------ | :---  | :---   | :--------</t>
  </si>
  <si>
    <t xml:space="preserve"> Total Stock Market        |30%    | VTI  |Vanguard Total Stock Market ETF </t>
  </si>
  <si>
    <t xml:space="preserve"> International Stock Market|15%    | VXUS |Vanguard Total International Stock ETF  </t>
  </si>
  <si>
    <t xml:space="preserve"> Emerging Markets          |5%     | VWO  |Vanguard FTSE Emerging Markets ETF </t>
  </si>
  <si>
    <t xml:space="preserve"> Intermediate Treasury Bonds|15%   | VGIT |Vanguard Intermediate-Term Treasury Index ETF</t>
  </si>
  <si>
    <t xml:space="preserve"> TIPS                      |15%    | SCHP |Schwab U.S. TIPS ETF</t>
  </si>
  <si>
    <t xml:space="preserve"> REITs                     |20%    | VNQ  |Vanguard Real Estate ETF  </t>
  </si>
  <si>
    <t>No</t>
  </si>
  <si>
    <t>Domestic-Equity</t>
  </si>
  <si>
    <t>80% S&amp;P 500; 16% S&amp;P Mid Cap; 4% Russell 2000</t>
  </si>
  <si>
    <t>Foreign-Equity</t>
  </si>
  <si>
    <t>93% EAFE; 7% Salomon Extended Market Index (excluding US and EAFE overlap)</t>
  </si>
  <si>
    <t>Emerging-Markets</t>
  </si>
  <si>
    <t>IFC Global Index and EMBI+</t>
  </si>
  <si>
    <t>Private-Equity</t>
  </si>
  <si>
    <t>Cambridge Associates Weighted Composite</t>
  </si>
  <si>
    <t>Absolute-Return</t>
  </si>
  <si>
    <t>LIBOR + 5%</t>
  </si>
  <si>
    <t>High Yield</t>
  </si>
  <si>
    <t>Salomon High Yield and Bankrupt</t>
  </si>
  <si>
    <t>60% GSCI; 40% NCREIF Timber Index</t>
  </si>
  <si>
    <t>NCREIF Property Index</t>
  </si>
  <si>
    <t>Domestic  Bonds</t>
  </si>
  <si>
    <t>Lehman 5 + Year Treasury Index</t>
  </si>
  <si>
    <t>Foreign Bonds</t>
  </si>
  <si>
    <t>J.P. Morgan Non U.S.</t>
  </si>
  <si>
    <t>Inflation-Indexed</t>
  </si>
  <si>
    <t>Salomon TIPS</t>
  </si>
  <si>
    <t>Cash</t>
  </si>
  <si>
    <t>3-month LIBOR</t>
  </si>
  <si>
    <t>BTC+ETH</t>
  </si>
  <si>
    <t>ETH</t>
  </si>
  <si>
    <t>BTC</t>
  </si>
  <si>
    <t xml:space="preserve">Second Subperoid :  2020/01 ~ 2021/12 </t>
    <phoneticPr fontId="3" type="noConversion"/>
  </si>
  <si>
    <t xml:space="preserve">First Subperoid :  2017/11 ~ 2019/12 </t>
    <phoneticPr fontId="3" type="noConversion"/>
  </si>
  <si>
    <t xml:space="preserve">Entire Peroid :  2017/11 ~ 2021/12 </t>
    <phoneticPr fontId="3" type="noConversion"/>
  </si>
  <si>
    <t>Pr(&gt;F)</t>
  </si>
  <si>
    <t>F-test</t>
    <phoneticPr fontId="3" type="noConversion"/>
  </si>
  <si>
    <t>beta</t>
    <phoneticPr fontId="3" type="noConversion"/>
  </si>
  <si>
    <t>alpha</t>
    <phoneticPr fontId="3" type="noConversion"/>
  </si>
  <si>
    <t>Step-Down test</t>
    <phoneticPr fontId="3" type="noConversion"/>
  </si>
  <si>
    <t>HK test</t>
    <phoneticPr fontId="3" type="noConversion"/>
  </si>
  <si>
    <t>alpha</t>
  </si>
  <si>
    <t>beta</t>
  </si>
  <si>
    <t>HK_F</t>
  </si>
  <si>
    <t>HK_Pr</t>
  </si>
  <si>
    <t>st1_F</t>
  </si>
  <si>
    <t>st1_Pr</t>
  </si>
  <si>
    <t>st2_F</t>
  </si>
  <si>
    <t>st2_Pr</t>
  </si>
  <si>
    <t>lm_model</t>
  </si>
  <si>
    <t>lm_data</t>
  </si>
  <si>
    <t>BTC ~ (SPY + TLT + GLD)</t>
  </si>
  <si>
    <t>rets2</t>
  </si>
  <si>
    <t>ETH ~ (SPY + TLT + GLD)</t>
  </si>
  <si>
    <t>BTC + ETH ~ (SPY + TLT + GLD)</t>
  </si>
  <si>
    <t>rets2[“/2019”]</t>
  </si>
  <si>
    <t>rets2[“2020/”]</t>
  </si>
  <si>
    <r>
      <t xml:space="preserve"> </t>
    </r>
    <r>
      <rPr>
        <sz val="11"/>
        <color theme="1"/>
        <rFont val="Times New Roman"/>
        <family val="1"/>
      </rPr>
      <t>F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</si>
  <si>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F</t>
    </r>
    <r>
      <rPr>
        <vertAlign val="subscript"/>
        <sz val="9"/>
        <rFont val="Times New Roman"/>
        <family val="1"/>
      </rPr>
      <t>1</t>
    </r>
    <phoneticPr fontId="3" type="noConversion"/>
  </si>
  <si>
    <r>
      <t xml:space="preserve"> F</t>
    </r>
    <r>
      <rPr>
        <i/>
        <vertAlign val="subscript"/>
        <sz val="9"/>
        <rFont val="Times New Roman"/>
        <family val="1"/>
      </rPr>
      <t>2</t>
    </r>
    <r>
      <rPr>
        <i/>
        <sz val="9"/>
        <rFont val="Times New Roman"/>
        <family val="1"/>
      </rPr>
      <t xml:space="preserve">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</si>
</sst>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"/>
    <numFmt numFmtId="177" formatCode="0.00000"/>
    <numFmt numFmtId="178" formatCode="0.0000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9"/>
      <name val="Times New Roman"/>
      <family val="1"/>
    </font>
    <font>
      <vertAlign val="subscript"/>
      <sz val="9"/>
      <name val="Times New Roman"/>
      <family val="1"/>
    </font>
    <font>
      <i/>
      <vertAlign val="subscript"/>
      <sz val="9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2">
    <xf numFmtId="0" fontId="0" fillId="0" borderId="0" xfId="0"/>
    <xf numFmtId="0" fontId="0" fillId="0" borderId="1" xfId="0" applyBorder="1"/>
    <xf numFmtId="176" fontId="0" fillId="0" borderId="0" xfId="0" applyNumberFormat="1"/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0" fontId="5" fillId="0" borderId="0" xfId="0" applyFont="1"/>
    <xf numFmtId="177" fontId="4" fillId="0" borderId="0" xfId="1" applyNumberFormat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>
      <alignment vertical="center"/>
    </xf>
    <xf numFmtId="176" fontId="9" fillId="0" borderId="0" xfId="1" applyNumberFormat="1" applyFont="1" applyAlignment="1">
      <alignment horizontal="right" vertical="center"/>
    </xf>
    <xf numFmtId="176" fontId="9" fillId="0" borderId="2" xfId="1" applyNumberFormat="1" applyFont="1" applyBorder="1" applyAlignment="1">
      <alignment horizontal="right" vertical="center"/>
    </xf>
    <xf numFmtId="0" fontId="9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176" fontId="10" fillId="2" borderId="0" xfId="1" applyNumberFormat="1" applyFont="1" applyFill="1" applyAlignment="1">
      <alignment horizontal="right" vertical="center"/>
    </xf>
    <xf numFmtId="176" fontId="10" fillId="2" borderId="2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8BB5E9C3-BA4D-4D90-8138-9B6D803890E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3F9D-83B7-415C-9F08-CC670911D2C9}">
  <dimension ref="A1:D11"/>
  <sheetViews>
    <sheetView workbookViewId="0">
      <selection activeCell="D1" sqref="A1:D1"/>
    </sheetView>
  </sheetViews>
  <sheetFormatPr defaultRowHeight="17.399999999999999" x14ac:dyDescent="0.4"/>
  <cols>
    <col min="1" max="1" width="27.3984375" bestFit="1" customWidth="1"/>
    <col min="2" max="2" width="12.19921875" bestFit="1" customWidth="1"/>
    <col min="4" max="4" width="44" bestFit="1" customWidth="1"/>
  </cols>
  <sheetData>
    <row r="1" spans="1:4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5</v>
      </c>
      <c r="C3" t="s">
        <v>9</v>
      </c>
      <c r="D3" t="s">
        <v>10</v>
      </c>
    </row>
    <row r="4" spans="1:4" x14ac:dyDescent="0.4">
      <c r="A4" t="s">
        <v>11</v>
      </c>
      <c r="B4" t="s">
        <v>5</v>
      </c>
      <c r="C4" t="s">
        <v>12</v>
      </c>
      <c r="D4" t="s">
        <v>13</v>
      </c>
    </row>
    <row r="5" spans="1:4" x14ac:dyDescent="0.4">
      <c r="A5" t="s">
        <v>14</v>
      </c>
      <c r="B5" t="s">
        <v>5</v>
      </c>
      <c r="C5" t="s">
        <v>15</v>
      </c>
      <c r="D5" t="s">
        <v>16</v>
      </c>
    </row>
    <row r="6" spans="1:4" x14ac:dyDescent="0.4">
      <c r="A6" t="s">
        <v>17</v>
      </c>
      <c r="B6" t="s">
        <v>5</v>
      </c>
      <c r="C6" t="s">
        <v>18</v>
      </c>
      <c r="D6" t="s">
        <v>19</v>
      </c>
    </row>
    <row r="7" spans="1:4" x14ac:dyDescent="0.4">
      <c r="A7" t="s">
        <v>20</v>
      </c>
      <c r="B7" t="s">
        <v>21</v>
      </c>
      <c r="C7" t="s">
        <v>22</v>
      </c>
      <c r="D7" t="s">
        <v>23</v>
      </c>
    </row>
    <row r="8" spans="1:4" x14ac:dyDescent="0.4">
      <c r="A8" t="s">
        <v>24</v>
      </c>
      <c r="B8" t="s">
        <v>21</v>
      </c>
      <c r="C8" t="s">
        <v>25</v>
      </c>
      <c r="D8" t="s">
        <v>26</v>
      </c>
    </row>
    <row r="9" spans="1:4" x14ac:dyDescent="0.4">
      <c r="A9" t="s">
        <v>27</v>
      </c>
      <c r="B9" t="s">
        <v>27</v>
      </c>
      <c r="C9" t="s">
        <v>28</v>
      </c>
      <c r="D9" t="s">
        <v>29</v>
      </c>
    </row>
    <row r="10" spans="1:4" x14ac:dyDescent="0.4">
      <c r="A10" t="s">
        <v>30</v>
      </c>
      <c r="B10" t="s">
        <v>31</v>
      </c>
      <c r="C10" t="s">
        <v>32</v>
      </c>
      <c r="D10" t="s">
        <v>33</v>
      </c>
    </row>
    <row r="11" spans="1:4" x14ac:dyDescent="0.4">
      <c r="A11" t="s">
        <v>34</v>
      </c>
      <c r="B11" t="s">
        <v>31</v>
      </c>
      <c r="C11" t="s">
        <v>35</v>
      </c>
      <c r="D11" t="s">
        <v>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78C9-ACAB-47AB-92A2-4E3F63F3E8AF}">
  <dimension ref="A1:A8"/>
  <sheetViews>
    <sheetView workbookViewId="0">
      <selection activeCell="A12" sqref="A12"/>
    </sheetView>
  </sheetViews>
  <sheetFormatPr defaultRowHeight="17.399999999999999" x14ac:dyDescent="0.4"/>
  <cols>
    <col min="1" max="1" width="81.8984375" bestFit="1" customWidth="1"/>
  </cols>
  <sheetData>
    <row r="1" spans="1:1" x14ac:dyDescent="0.4">
      <c r="A1" t="s">
        <v>37</v>
      </c>
    </row>
    <row r="2" spans="1:1" x14ac:dyDescent="0.4">
      <c r="A2" t="s">
        <v>38</v>
      </c>
    </row>
    <row r="3" spans="1:1" x14ac:dyDescent="0.4">
      <c r="A3" t="s">
        <v>39</v>
      </c>
    </row>
    <row r="4" spans="1:1" x14ac:dyDescent="0.4">
      <c r="A4" t="s">
        <v>40</v>
      </c>
    </row>
    <row r="5" spans="1:1" x14ac:dyDescent="0.4">
      <c r="A5" t="s">
        <v>41</v>
      </c>
    </row>
    <row r="6" spans="1:1" x14ac:dyDescent="0.4">
      <c r="A6" t="s">
        <v>42</v>
      </c>
    </row>
    <row r="7" spans="1:1" x14ac:dyDescent="0.4">
      <c r="A7" t="s">
        <v>43</v>
      </c>
    </row>
    <row r="8" spans="1:1" x14ac:dyDescent="0.4">
      <c r="A8" t="s">
        <v>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1AE2-1FF3-47E4-8E9B-1B62916BD97B}">
  <dimension ref="A1:C13"/>
  <sheetViews>
    <sheetView workbookViewId="0">
      <selection activeCell="A14" sqref="A14:XFD24"/>
    </sheetView>
  </sheetViews>
  <sheetFormatPr defaultRowHeight="17.399999999999999" x14ac:dyDescent="0.4"/>
  <cols>
    <col min="2" max="2" width="16.69921875" bestFit="1" customWidth="1"/>
    <col min="3" max="3" width="71.8984375" bestFit="1" customWidth="1"/>
  </cols>
  <sheetData>
    <row r="1" spans="1:3" x14ac:dyDescent="0.4">
      <c r="A1" t="s">
        <v>45</v>
      </c>
      <c r="B1" s="1" t="s">
        <v>1</v>
      </c>
      <c r="C1" s="1" t="s">
        <v>0</v>
      </c>
    </row>
    <row r="2" spans="1:3" x14ac:dyDescent="0.4">
      <c r="A2">
        <v>1</v>
      </c>
      <c r="B2" t="s">
        <v>46</v>
      </c>
      <c r="C2" t="s">
        <v>47</v>
      </c>
    </row>
    <row r="3" spans="1:3" x14ac:dyDescent="0.4">
      <c r="A3">
        <v>2</v>
      </c>
      <c r="B3" t="s">
        <v>48</v>
      </c>
      <c r="C3" t="s">
        <v>49</v>
      </c>
    </row>
    <row r="4" spans="1:3" x14ac:dyDescent="0.4">
      <c r="A4">
        <v>3</v>
      </c>
      <c r="B4" t="s">
        <v>50</v>
      </c>
      <c r="C4" t="s">
        <v>51</v>
      </c>
    </row>
    <row r="5" spans="1:3" x14ac:dyDescent="0.4">
      <c r="A5">
        <v>4</v>
      </c>
      <c r="B5" t="s">
        <v>52</v>
      </c>
      <c r="C5" t="s">
        <v>53</v>
      </c>
    </row>
    <row r="6" spans="1:3" x14ac:dyDescent="0.4">
      <c r="A6">
        <v>5</v>
      </c>
      <c r="B6" t="s">
        <v>54</v>
      </c>
      <c r="C6" t="s">
        <v>55</v>
      </c>
    </row>
    <row r="7" spans="1:3" x14ac:dyDescent="0.4">
      <c r="A7">
        <v>6</v>
      </c>
      <c r="B7" t="s">
        <v>56</v>
      </c>
      <c r="C7" t="s">
        <v>57</v>
      </c>
    </row>
    <row r="8" spans="1:3" x14ac:dyDescent="0.4">
      <c r="A8">
        <v>7</v>
      </c>
      <c r="B8" t="s">
        <v>27</v>
      </c>
      <c r="C8" t="s">
        <v>58</v>
      </c>
    </row>
    <row r="9" spans="1:3" x14ac:dyDescent="0.4">
      <c r="A9">
        <v>8</v>
      </c>
      <c r="B9" t="s">
        <v>31</v>
      </c>
      <c r="C9" t="s">
        <v>59</v>
      </c>
    </row>
    <row r="10" spans="1:3" x14ac:dyDescent="0.4">
      <c r="A10">
        <v>9</v>
      </c>
      <c r="B10" t="s">
        <v>60</v>
      </c>
      <c r="C10" t="s">
        <v>61</v>
      </c>
    </row>
    <row r="11" spans="1:3" x14ac:dyDescent="0.4">
      <c r="A11">
        <v>10</v>
      </c>
      <c r="B11" t="s">
        <v>62</v>
      </c>
      <c r="C11" t="s">
        <v>63</v>
      </c>
    </row>
    <row r="12" spans="1:3" x14ac:dyDescent="0.4">
      <c r="A12">
        <v>11</v>
      </c>
      <c r="B12" t="s">
        <v>64</v>
      </c>
      <c r="C12" t="s">
        <v>65</v>
      </c>
    </row>
    <row r="13" spans="1:3" x14ac:dyDescent="0.4">
      <c r="A13">
        <v>12</v>
      </c>
      <c r="B13" t="s">
        <v>66</v>
      </c>
      <c r="C13" t="s">
        <v>67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98B0-FB4D-4473-B58E-944F9A0C2E94}">
  <dimension ref="A1:U36"/>
  <sheetViews>
    <sheetView tabSelected="1" topLeftCell="A3" zoomScaleNormal="100" workbookViewId="0">
      <selection activeCell="J18" sqref="J18"/>
    </sheetView>
  </sheetViews>
  <sheetFormatPr defaultRowHeight="13.8" x14ac:dyDescent="0.4"/>
  <cols>
    <col min="1" max="1" width="7.5" style="16" customWidth="1"/>
    <col min="2" max="2" width="7.8984375" style="17" customWidth="1"/>
    <col min="3" max="3" width="7.09765625" style="17" bestFit="1" customWidth="1"/>
    <col min="4" max="4" width="7.8984375" style="17" bestFit="1" customWidth="1"/>
    <col min="5" max="5" width="7.59765625" style="17" bestFit="1" customWidth="1"/>
    <col min="6" max="7" width="7.09765625" style="17" bestFit="1" customWidth="1"/>
    <col min="8" max="8" width="7.8984375" style="17" bestFit="1" customWidth="1"/>
    <col min="9" max="9" width="7.59765625" style="17" bestFit="1" customWidth="1"/>
    <col min="10" max="11" width="8.796875" style="3"/>
    <col min="12" max="13" width="8.8984375" style="3" bestFit="1" customWidth="1"/>
    <col min="14" max="14" width="9.09765625" style="3" bestFit="1" customWidth="1"/>
    <col min="15" max="17" width="8.8984375" style="3" bestFit="1" customWidth="1"/>
    <col min="18" max="18" width="9.09765625" style="3" bestFit="1" customWidth="1"/>
    <col min="19" max="19" width="8.8984375" style="3" bestFit="1" customWidth="1"/>
    <col min="20" max="20" width="30.59765625" style="3" bestFit="1" customWidth="1"/>
    <col min="21" max="16384" width="8.796875" style="3"/>
  </cols>
  <sheetData>
    <row r="1" spans="1:21" ht="18.45" customHeight="1" x14ac:dyDescent="0.4">
      <c r="A1" s="9"/>
      <c r="B1" s="10"/>
      <c r="C1" s="10"/>
      <c r="D1" s="18" t="s">
        <v>79</v>
      </c>
      <c r="E1" s="18"/>
      <c r="F1" s="19" t="s">
        <v>78</v>
      </c>
      <c r="G1" s="19"/>
      <c r="H1" s="19"/>
      <c r="I1" s="19"/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</row>
    <row r="2" spans="1:21" s="4" customFormat="1" ht="18.45" customHeight="1" x14ac:dyDescent="0.4">
      <c r="A2" s="11"/>
      <c r="B2" s="11" t="s">
        <v>77</v>
      </c>
      <c r="C2" s="11" t="s">
        <v>76</v>
      </c>
      <c r="D2" s="11" t="s">
        <v>75</v>
      </c>
      <c r="E2" s="11" t="s">
        <v>74</v>
      </c>
      <c r="F2" s="11" t="s">
        <v>97</v>
      </c>
      <c r="G2" s="11" t="s">
        <v>74</v>
      </c>
      <c r="H2" s="11" t="s">
        <v>98</v>
      </c>
      <c r="I2" s="11" t="s">
        <v>74</v>
      </c>
      <c r="L2" s="5">
        <v>1.1604E-3</v>
      </c>
      <c r="M2" s="5">
        <v>1.4021017</v>
      </c>
      <c r="N2" s="5">
        <v>1.7481153</v>
      </c>
      <c r="O2" s="5">
        <v>0.174762</v>
      </c>
      <c r="P2" s="5">
        <v>0.65774690000000002</v>
      </c>
      <c r="Q2" s="5">
        <v>0.41759619999999997</v>
      </c>
      <c r="R2" s="5">
        <v>2.8396895</v>
      </c>
      <c r="S2" s="6">
        <v>9.2349100000000003E-2</v>
      </c>
      <c r="T2" s="4" t="s">
        <v>90</v>
      </c>
      <c r="U2" s="4" t="s">
        <v>91</v>
      </c>
    </row>
    <row r="3" spans="1:21" ht="18.45" customHeight="1" x14ac:dyDescent="0.4">
      <c r="A3" s="12"/>
      <c r="B3" s="19" t="s">
        <v>73</v>
      </c>
      <c r="C3" s="19"/>
      <c r="D3" s="19"/>
      <c r="E3" s="19"/>
      <c r="F3" s="19"/>
      <c r="G3" s="19"/>
      <c r="H3" s="19"/>
      <c r="I3" s="19"/>
      <c r="L3" s="5">
        <v>6.757E-4</v>
      </c>
      <c r="M3" s="5">
        <v>1.8885424</v>
      </c>
      <c r="N3" s="5">
        <v>4.1897884999999997</v>
      </c>
      <c r="O3" s="5">
        <v>1.5481200000000001E-2</v>
      </c>
      <c r="P3" s="5">
        <v>0.14015639999999999</v>
      </c>
      <c r="Q3" s="5">
        <v>0.70822410000000002</v>
      </c>
      <c r="R3" s="5">
        <v>8.2482199000000005</v>
      </c>
      <c r="S3" s="6">
        <v>4.1862000000000002E-3</v>
      </c>
      <c r="T3" s="3" t="s">
        <v>92</v>
      </c>
      <c r="U3" s="3" t="s">
        <v>91</v>
      </c>
    </row>
    <row r="4" spans="1:21" ht="18.45" customHeight="1" x14ac:dyDescent="0.4">
      <c r="A4" s="9" t="s">
        <v>70</v>
      </c>
      <c r="B4" s="13">
        <v>1.1604E-3</v>
      </c>
      <c r="C4" s="13">
        <v>1.4021017</v>
      </c>
      <c r="D4" s="13">
        <v>1.7481153</v>
      </c>
      <c r="E4" s="13">
        <v>0.174762</v>
      </c>
      <c r="F4" s="13">
        <v>0.65774690000000002</v>
      </c>
      <c r="G4" s="13">
        <v>0.41759619999999997</v>
      </c>
      <c r="H4" s="13">
        <v>2.8396895</v>
      </c>
      <c r="I4" s="13">
        <v>9.2349100000000003E-2</v>
      </c>
      <c r="L4" s="5">
        <v>1.8361E-3</v>
      </c>
      <c r="M4" s="5">
        <v>3.2906441000000002</v>
      </c>
      <c r="N4" s="5">
        <v>9.5054569999999998</v>
      </c>
      <c r="O4" s="5">
        <v>8.3100000000000001E-5</v>
      </c>
      <c r="P4" s="5">
        <v>0.3522689</v>
      </c>
      <c r="Q4" s="5">
        <v>0.55299830000000005</v>
      </c>
      <c r="R4" s="5">
        <v>18.673652000000001</v>
      </c>
      <c r="S4" s="6">
        <v>1.7399999999999999E-5</v>
      </c>
      <c r="T4" s="3" t="s">
        <v>93</v>
      </c>
      <c r="U4" s="3" t="s">
        <v>91</v>
      </c>
    </row>
    <row r="5" spans="1:21" ht="18.45" customHeight="1" x14ac:dyDescent="0.4">
      <c r="A5" s="9" t="s">
        <v>69</v>
      </c>
      <c r="B5" s="13">
        <v>6.757E-4</v>
      </c>
      <c r="C5" s="13">
        <v>1.8885424</v>
      </c>
      <c r="D5" s="13">
        <v>4.1897884999999997</v>
      </c>
      <c r="E5" s="20">
        <v>1.5481200000000001E-2</v>
      </c>
      <c r="F5" s="13">
        <v>0.14015639999999999</v>
      </c>
      <c r="G5" s="13">
        <v>0.70822410000000002</v>
      </c>
      <c r="H5" s="13">
        <v>8.2482199000000005</v>
      </c>
      <c r="I5" s="20">
        <v>4.1862000000000002E-3</v>
      </c>
      <c r="L5" s="5">
        <v>-8.1999999999999998E-4</v>
      </c>
      <c r="M5" s="5">
        <v>0.65957790000000005</v>
      </c>
      <c r="N5" s="5">
        <v>0.35345320000000002</v>
      </c>
      <c r="O5" s="5">
        <v>0.7024859</v>
      </c>
      <c r="P5" s="5">
        <v>0.15626789999999999</v>
      </c>
      <c r="Q5" s="5">
        <v>0.69283450000000002</v>
      </c>
      <c r="R5" s="5">
        <v>0.55184169999999999</v>
      </c>
      <c r="S5" s="6">
        <v>0.4580168</v>
      </c>
      <c r="T5" s="3" t="s">
        <v>90</v>
      </c>
      <c r="U5" s="3" t="s">
        <v>94</v>
      </c>
    </row>
    <row r="6" spans="1:21" ht="18.45" customHeight="1" x14ac:dyDescent="0.4">
      <c r="A6" s="12" t="s">
        <v>68</v>
      </c>
      <c r="B6" s="14">
        <v>1.8361E-3</v>
      </c>
      <c r="C6" s="14">
        <v>3.2906441000000002</v>
      </c>
      <c r="D6" s="14">
        <v>9.5054569999999998</v>
      </c>
      <c r="E6" s="21">
        <v>8.3100000000000001E-5</v>
      </c>
      <c r="F6" s="14">
        <v>0.3522689</v>
      </c>
      <c r="G6" s="14">
        <v>0.55299830000000005</v>
      </c>
      <c r="H6" s="14">
        <v>18.673652000000001</v>
      </c>
      <c r="I6" s="21">
        <v>1.7399999999999999E-5</v>
      </c>
      <c r="L6" s="5">
        <v>-2.7637999999999999E-3</v>
      </c>
      <c r="M6" s="5">
        <v>1.0127613</v>
      </c>
      <c r="N6" s="5">
        <v>0.56451890000000005</v>
      </c>
      <c r="O6" s="5">
        <v>0.56910240000000001</v>
      </c>
      <c r="P6" s="5">
        <v>1.1157352</v>
      </c>
      <c r="Q6" s="5">
        <v>0.29149930000000002</v>
      </c>
      <c r="R6" s="5">
        <v>1.3298600000000001E-2</v>
      </c>
      <c r="S6" s="6">
        <v>0.9082517</v>
      </c>
      <c r="T6" s="3" t="s">
        <v>92</v>
      </c>
      <c r="U6" s="3" t="s">
        <v>94</v>
      </c>
    </row>
    <row r="7" spans="1:21" ht="9.6" customHeight="1" x14ac:dyDescent="0.4">
      <c r="A7" s="9"/>
      <c r="B7" s="15"/>
      <c r="C7" s="15"/>
      <c r="D7" s="15"/>
      <c r="E7" s="15"/>
      <c r="F7" s="15"/>
      <c r="G7" s="15"/>
      <c r="H7" s="15"/>
      <c r="I7" s="15"/>
      <c r="L7" s="5">
        <v>-3.5837999999999998E-3</v>
      </c>
      <c r="M7" s="5">
        <v>1.6723391999999999</v>
      </c>
      <c r="N7" s="5">
        <v>0.45814070000000001</v>
      </c>
      <c r="O7" s="5">
        <v>0.63280199999999998</v>
      </c>
      <c r="P7" s="5">
        <v>0.63734659999999999</v>
      </c>
      <c r="Q7" s="5">
        <v>0.42516419999999999</v>
      </c>
      <c r="R7" s="5">
        <v>0.27919640000000001</v>
      </c>
      <c r="S7" s="6">
        <v>0.59753129999999999</v>
      </c>
      <c r="T7" s="3" t="s">
        <v>93</v>
      </c>
      <c r="U7" s="3" t="s">
        <v>94</v>
      </c>
    </row>
    <row r="8" spans="1:21" ht="18.45" customHeight="1" x14ac:dyDescent="0.4">
      <c r="A8" s="12"/>
      <c r="B8" s="19" t="s">
        <v>72</v>
      </c>
      <c r="C8" s="19"/>
      <c r="D8" s="19"/>
      <c r="E8" s="19"/>
      <c r="F8" s="19"/>
      <c r="G8" s="19"/>
      <c r="H8" s="19"/>
      <c r="I8" s="19"/>
      <c r="L8" s="5">
        <v>3.3000999999999998E-3</v>
      </c>
      <c r="M8" s="5">
        <v>1.6132342</v>
      </c>
      <c r="N8" s="5">
        <v>3.9128607999999998</v>
      </c>
      <c r="O8" s="5">
        <v>2.0724800000000002E-2</v>
      </c>
      <c r="P8" s="5">
        <v>2.8168590999999998</v>
      </c>
      <c r="Q8" s="5">
        <v>9.4031600000000007E-2</v>
      </c>
      <c r="R8" s="5">
        <v>4.9870815999999998</v>
      </c>
      <c r="S8" s="6">
        <v>2.6068399999999999E-2</v>
      </c>
      <c r="T8" s="3" t="s">
        <v>90</v>
      </c>
      <c r="U8" s="3" t="s">
        <v>95</v>
      </c>
    </row>
    <row r="9" spans="1:21" ht="18.45" customHeight="1" x14ac:dyDescent="0.4">
      <c r="A9" s="9" t="s">
        <v>70</v>
      </c>
      <c r="B9" s="13">
        <v>-8.1999999999999998E-4</v>
      </c>
      <c r="C9" s="13">
        <v>0.65957790000000005</v>
      </c>
      <c r="D9" s="13">
        <v>0.35345320000000002</v>
      </c>
      <c r="E9" s="13">
        <v>0.7024859</v>
      </c>
      <c r="F9" s="13">
        <v>0.15626789999999999</v>
      </c>
      <c r="G9" s="13">
        <v>0.69283450000000002</v>
      </c>
      <c r="H9" s="13">
        <v>0.55184169999999999</v>
      </c>
      <c r="I9" s="13">
        <v>0.4580168</v>
      </c>
      <c r="L9" s="5">
        <v>4.2120999999999999E-3</v>
      </c>
      <c r="M9" s="5">
        <v>2.1777869999999999</v>
      </c>
      <c r="N9" s="5">
        <v>7.0444157000000001</v>
      </c>
      <c r="O9" s="5">
        <v>9.8050000000000003E-4</v>
      </c>
      <c r="P9" s="5">
        <v>2.8632471000000002</v>
      </c>
      <c r="Q9" s="5">
        <v>9.1374999999999998E-2</v>
      </c>
      <c r="R9" s="5">
        <v>11.175529600000001</v>
      </c>
      <c r="S9" s="6">
        <v>9.0390000000000002E-4</v>
      </c>
      <c r="T9" s="3" t="s">
        <v>92</v>
      </c>
      <c r="U9" s="3" t="s">
        <v>95</v>
      </c>
    </row>
    <row r="10" spans="1:21" ht="18.45" customHeight="1" x14ac:dyDescent="0.4">
      <c r="A10" s="9" t="s">
        <v>69</v>
      </c>
      <c r="B10" s="13">
        <v>-2.7637999999999999E-3</v>
      </c>
      <c r="C10" s="13">
        <v>1.0127613</v>
      </c>
      <c r="D10" s="13">
        <v>0.56451890000000005</v>
      </c>
      <c r="E10" s="13">
        <v>0.56910240000000001</v>
      </c>
      <c r="F10" s="13">
        <v>1.1157352</v>
      </c>
      <c r="G10" s="13">
        <v>0.29149930000000002</v>
      </c>
      <c r="H10" s="13">
        <v>1.3298600000000001E-2</v>
      </c>
      <c r="I10" s="13">
        <v>0.9082517</v>
      </c>
      <c r="L10" s="5">
        <v>7.5120999999999999E-3</v>
      </c>
      <c r="M10" s="5">
        <v>3.7910211999999999</v>
      </c>
      <c r="N10" s="5">
        <v>12.2043436</v>
      </c>
      <c r="O10" s="5">
        <v>7.0999999999999998E-6</v>
      </c>
      <c r="P10" s="5">
        <v>3.1169209000000002</v>
      </c>
      <c r="Q10" s="5">
        <v>7.8218399999999993E-2</v>
      </c>
      <c r="R10" s="5">
        <v>21.183966399999999</v>
      </c>
      <c r="S10" s="6">
        <v>5.4999999999999999E-6</v>
      </c>
      <c r="T10" s="3" t="s">
        <v>93</v>
      </c>
      <c r="U10" s="3" t="s">
        <v>95</v>
      </c>
    </row>
    <row r="11" spans="1:21" ht="18.45" customHeight="1" x14ac:dyDescent="0.4">
      <c r="A11" s="12" t="s">
        <v>68</v>
      </c>
      <c r="B11" s="14">
        <v>-3.5837999999999998E-3</v>
      </c>
      <c r="C11" s="14">
        <v>1.6723391999999999</v>
      </c>
      <c r="D11" s="14">
        <v>0.45814070000000001</v>
      </c>
      <c r="E11" s="14">
        <v>0.63280199999999998</v>
      </c>
      <c r="F11" s="14">
        <v>0.63734659999999999</v>
      </c>
      <c r="G11" s="14">
        <v>0.42516419999999999</v>
      </c>
      <c r="H11" s="14">
        <v>0.27919640000000001</v>
      </c>
      <c r="I11" s="14">
        <v>0.59753129999999999</v>
      </c>
    </row>
    <row r="12" spans="1:21" ht="8.4" customHeight="1" x14ac:dyDescent="0.4">
      <c r="A12" s="9"/>
      <c r="B12" s="15"/>
      <c r="C12" s="15"/>
      <c r="D12" s="15"/>
      <c r="E12" s="15"/>
      <c r="F12" s="15"/>
      <c r="G12" s="15"/>
      <c r="H12" s="15"/>
      <c r="I12" s="15"/>
    </row>
    <row r="13" spans="1:21" ht="18.45" customHeight="1" x14ac:dyDescent="0.4">
      <c r="A13" s="12"/>
      <c r="B13" s="19" t="s">
        <v>71</v>
      </c>
      <c r="C13" s="19"/>
      <c r="D13" s="19"/>
      <c r="E13" s="19"/>
      <c r="F13" s="19"/>
      <c r="G13" s="19"/>
      <c r="H13" s="19"/>
      <c r="I13" s="19"/>
    </row>
    <row r="14" spans="1:21" ht="18.45" customHeight="1" x14ac:dyDescent="0.4">
      <c r="A14" s="9" t="s">
        <v>70</v>
      </c>
      <c r="B14" s="13">
        <v>3.3000999999999998E-3</v>
      </c>
      <c r="C14" s="13">
        <v>1.6132342</v>
      </c>
      <c r="D14" s="13">
        <v>3.9128607999999998</v>
      </c>
      <c r="E14" s="20">
        <v>2.0724800000000002E-2</v>
      </c>
      <c r="F14" s="13">
        <v>2.8168590999999998</v>
      </c>
      <c r="G14" s="13">
        <v>9.4031600000000007E-2</v>
      </c>
      <c r="H14" s="13">
        <v>4.9870815999999998</v>
      </c>
      <c r="I14" s="20">
        <v>2.6068399999999999E-2</v>
      </c>
    </row>
    <row r="15" spans="1:21" ht="18.45" customHeight="1" x14ac:dyDescent="0.35">
      <c r="A15" s="9" t="s">
        <v>69</v>
      </c>
      <c r="B15" s="13">
        <v>4.2120999999999999E-3</v>
      </c>
      <c r="C15" s="13">
        <v>2.1777869999999999</v>
      </c>
      <c r="D15" s="13">
        <v>7.0444157000000001</v>
      </c>
      <c r="E15" s="20">
        <v>9.8050000000000003E-4</v>
      </c>
      <c r="F15" s="13">
        <v>2.8632471000000002</v>
      </c>
      <c r="G15" s="13">
        <v>9.1374999999999998E-2</v>
      </c>
      <c r="H15" s="13">
        <v>11.175529600000001</v>
      </c>
      <c r="I15" s="20">
        <v>9.0390000000000002E-4</v>
      </c>
      <c r="M15" s="7" t="s">
        <v>96</v>
      </c>
    </row>
    <row r="16" spans="1:21" ht="18.45" customHeight="1" x14ac:dyDescent="0.4">
      <c r="A16" s="12" t="s">
        <v>68</v>
      </c>
      <c r="B16" s="14">
        <v>7.5120999999999999E-3</v>
      </c>
      <c r="C16" s="14">
        <v>3.7910211999999999</v>
      </c>
      <c r="D16" s="14">
        <v>12.2043436</v>
      </c>
      <c r="E16" s="21">
        <v>7.0999999999999998E-6</v>
      </c>
      <c r="F16" s="14">
        <v>3.1169209000000002</v>
      </c>
      <c r="G16" s="14">
        <v>7.8218399999999993E-2</v>
      </c>
      <c r="H16" s="14">
        <v>21.183966399999999</v>
      </c>
      <c r="I16" s="21">
        <v>5.4999999999999999E-6</v>
      </c>
    </row>
    <row r="17" spans="1:21" ht="18.45" customHeight="1" x14ac:dyDescent="0.4"/>
    <row r="18" spans="1:21" ht="18.45" customHeight="1" x14ac:dyDescent="0.4"/>
    <row r="19" spans="1:21" ht="18.45" customHeight="1" x14ac:dyDescent="0.4">
      <c r="A19" s="9"/>
      <c r="B19" s="10"/>
      <c r="C19" s="10"/>
      <c r="D19" s="18" t="s">
        <v>79</v>
      </c>
      <c r="E19" s="18"/>
      <c r="F19" s="19" t="s">
        <v>78</v>
      </c>
      <c r="G19" s="19"/>
      <c r="H19" s="19"/>
      <c r="I19" s="19"/>
    </row>
    <row r="20" spans="1:21" ht="18.45" customHeight="1" x14ac:dyDescent="0.4">
      <c r="A20" s="11"/>
      <c r="B20" s="11" t="s">
        <v>77</v>
      </c>
      <c r="C20" s="11" t="s">
        <v>76</v>
      </c>
      <c r="D20" s="11" t="s">
        <v>75</v>
      </c>
      <c r="E20" s="11" t="s">
        <v>74</v>
      </c>
      <c r="F20" s="11" t="s">
        <v>97</v>
      </c>
      <c r="G20" s="11" t="s">
        <v>74</v>
      </c>
      <c r="H20" s="11" t="s">
        <v>98</v>
      </c>
      <c r="I20" s="11" t="s">
        <v>74</v>
      </c>
    </row>
    <row r="21" spans="1:21" ht="18.45" customHeight="1" x14ac:dyDescent="0.4">
      <c r="A21" s="12"/>
      <c r="B21" s="19" t="s">
        <v>73</v>
      </c>
      <c r="C21" s="19"/>
      <c r="D21" s="19"/>
      <c r="E21" s="19"/>
      <c r="F21" s="19"/>
      <c r="G21" s="19"/>
      <c r="H21" s="19"/>
      <c r="I21" s="19"/>
      <c r="L21" s="3" t="s">
        <v>80</v>
      </c>
      <c r="M21" s="3" t="s">
        <v>81</v>
      </c>
      <c r="N21" s="3" t="s">
        <v>82</v>
      </c>
      <c r="O21" s="3" t="s">
        <v>83</v>
      </c>
      <c r="P21" s="3" t="s">
        <v>84</v>
      </c>
      <c r="Q21" s="3" t="s">
        <v>85</v>
      </c>
      <c r="R21" s="3" t="s">
        <v>86</v>
      </c>
      <c r="S21" s="3" t="s">
        <v>87</v>
      </c>
      <c r="T21" s="3" t="s">
        <v>88</v>
      </c>
      <c r="U21" s="3" t="s">
        <v>89</v>
      </c>
    </row>
    <row r="22" spans="1:21" ht="18.45" customHeight="1" x14ac:dyDescent="0.4">
      <c r="A22" s="9" t="s">
        <v>70</v>
      </c>
      <c r="B22" s="13">
        <v>1.1604E-3</v>
      </c>
      <c r="C22" s="13">
        <v>1.4021017</v>
      </c>
      <c r="D22" s="13">
        <v>1.0449027</v>
      </c>
      <c r="E22" s="13">
        <v>0.35220259999999998</v>
      </c>
      <c r="F22" s="13">
        <v>0.58213349999999997</v>
      </c>
      <c r="G22" s="13">
        <v>0.44570080000000001</v>
      </c>
      <c r="H22" s="13">
        <v>0.77001629999999999</v>
      </c>
      <c r="I22" s="13">
        <v>0.38047350000000002</v>
      </c>
      <c r="L22" s="8">
        <v>1.1604E-3</v>
      </c>
      <c r="M22" s="8">
        <v>1.4021017</v>
      </c>
      <c r="N22" s="8">
        <v>1.0449027</v>
      </c>
      <c r="O22" s="8">
        <v>0.35220259999999998</v>
      </c>
      <c r="P22" s="8">
        <v>0.58213349999999997</v>
      </c>
      <c r="Q22" s="8">
        <v>0.44570080000000001</v>
      </c>
      <c r="R22" s="8">
        <v>0.77001629999999999</v>
      </c>
      <c r="S22" s="8">
        <v>0.38047350000000002</v>
      </c>
      <c r="T22" s="3" t="s">
        <v>90</v>
      </c>
      <c r="U22" s="3" t="s">
        <v>91</v>
      </c>
    </row>
    <row r="23" spans="1:21" ht="18.45" customHeight="1" x14ac:dyDescent="0.4">
      <c r="A23" s="9" t="s">
        <v>69</v>
      </c>
      <c r="B23" s="13">
        <v>6.757E-4</v>
      </c>
      <c r="C23" s="13">
        <v>1.8885424</v>
      </c>
      <c r="D23" s="13">
        <v>1.7300711</v>
      </c>
      <c r="E23" s="13">
        <v>0.17793030000000001</v>
      </c>
      <c r="F23" s="13">
        <v>0.12697749999999999</v>
      </c>
      <c r="G23" s="13">
        <v>0.72168010000000005</v>
      </c>
      <c r="H23" s="13">
        <v>2.6809150000000002</v>
      </c>
      <c r="I23" s="13">
        <v>0.1019477</v>
      </c>
      <c r="L23" s="8">
        <v>6.757E-4</v>
      </c>
      <c r="M23" s="8">
        <v>1.8885424</v>
      </c>
      <c r="N23" s="8">
        <v>1.7300711</v>
      </c>
      <c r="O23" s="8">
        <v>0.17793030000000001</v>
      </c>
      <c r="P23" s="8">
        <v>0.12697749999999999</v>
      </c>
      <c r="Q23" s="8">
        <v>0.72168010000000005</v>
      </c>
      <c r="R23" s="8">
        <v>2.6809150000000002</v>
      </c>
      <c r="S23" s="8">
        <v>0.1019477</v>
      </c>
      <c r="T23" s="3" t="s">
        <v>92</v>
      </c>
      <c r="U23" s="3" t="s">
        <v>91</v>
      </c>
    </row>
    <row r="24" spans="1:21" ht="18.45" customHeight="1" x14ac:dyDescent="0.4">
      <c r="A24" s="12" t="s">
        <v>68</v>
      </c>
      <c r="B24" s="14">
        <v>1.8361E-3</v>
      </c>
      <c r="C24" s="14">
        <v>3.2906441000000002</v>
      </c>
      <c r="D24" s="14">
        <v>3.6363401999999998</v>
      </c>
      <c r="E24" s="21">
        <v>2.6782299999999998E-2</v>
      </c>
      <c r="F24" s="14">
        <v>0.31290210000000002</v>
      </c>
      <c r="G24" s="14">
        <v>0.57606040000000003</v>
      </c>
      <c r="H24" s="14">
        <v>5.2474170999999998</v>
      </c>
      <c r="I24" s="21">
        <v>2.2236700000000002E-2</v>
      </c>
      <c r="L24" s="8">
        <v>1.8361E-3</v>
      </c>
      <c r="M24" s="8">
        <v>3.2906441000000002</v>
      </c>
      <c r="N24" s="8">
        <v>3.6363401999999998</v>
      </c>
      <c r="O24" s="8">
        <v>2.6782299999999998E-2</v>
      </c>
      <c r="P24" s="8">
        <v>0.31290210000000002</v>
      </c>
      <c r="Q24" s="8">
        <v>0.57606040000000003</v>
      </c>
      <c r="R24" s="8">
        <v>5.2474170999999998</v>
      </c>
      <c r="S24" s="8">
        <v>2.2236700000000002E-2</v>
      </c>
      <c r="T24" s="3" t="s">
        <v>93</v>
      </c>
      <c r="U24" s="3" t="s">
        <v>91</v>
      </c>
    </row>
    <row r="25" spans="1:21" ht="9.6" customHeight="1" x14ac:dyDescent="0.4">
      <c r="A25" s="9"/>
      <c r="B25" s="15"/>
      <c r="C25" s="15"/>
      <c r="D25" s="15"/>
      <c r="E25" s="15"/>
      <c r="F25" s="15"/>
      <c r="G25" s="15"/>
      <c r="H25" s="15"/>
      <c r="I25" s="15"/>
      <c r="L25" s="8">
        <v>-8.1999999999999998E-4</v>
      </c>
      <c r="M25" s="8">
        <v>0.65957790000000005</v>
      </c>
      <c r="N25" s="8">
        <v>0.38107980000000002</v>
      </c>
      <c r="O25" s="8">
        <v>0.68338010000000005</v>
      </c>
      <c r="P25" s="8">
        <v>0.1506671</v>
      </c>
      <c r="Q25" s="8">
        <v>0.69811259999999997</v>
      </c>
      <c r="R25" s="8">
        <v>0.55359709999999995</v>
      </c>
      <c r="S25" s="8">
        <v>0.45730310000000002</v>
      </c>
      <c r="T25" s="3" t="s">
        <v>90</v>
      </c>
      <c r="U25" s="3" t="s">
        <v>94</v>
      </c>
    </row>
    <row r="26" spans="1:21" ht="18.45" customHeight="1" x14ac:dyDescent="0.4">
      <c r="A26" s="12"/>
      <c r="B26" s="19" t="s">
        <v>72</v>
      </c>
      <c r="C26" s="19"/>
      <c r="D26" s="19"/>
      <c r="E26" s="19"/>
      <c r="F26" s="19"/>
      <c r="G26" s="19"/>
      <c r="H26" s="19"/>
      <c r="I26" s="19"/>
      <c r="L26" s="8">
        <v>-2.7637999999999999E-3</v>
      </c>
      <c r="M26" s="8">
        <v>1.0127613</v>
      </c>
      <c r="N26" s="8">
        <v>0.55300769999999999</v>
      </c>
      <c r="O26" s="8">
        <v>0.57567219999999997</v>
      </c>
      <c r="P26" s="8">
        <v>1.0709803</v>
      </c>
      <c r="Q26" s="8">
        <v>0.30137199999999997</v>
      </c>
      <c r="R26" s="8">
        <v>1.2728099999999999E-2</v>
      </c>
      <c r="S26" s="8">
        <v>0.91023259999999995</v>
      </c>
      <c r="T26" s="3" t="s">
        <v>92</v>
      </c>
      <c r="U26" s="3" t="s">
        <v>94</v>
      </c>
    </row>
    <row r="27" spans="1:21" ht="18.45" customHeight="1" x14ac:dyDescent="0.4">
      <c r="A27" s="9" t="s">
        <v>70</v>
      </c>
      <c r="B27" s="13">
        <v>-8.1999999999999998E-4</v>
      </c>
      <c r="C27" s="13">
        <v>0.65957790000000005</v>
      </c>
      <c r="D27" s="13">
        <v>0.38107980000000002</v>
      </c>
      <c r="E27" s="13">
        <v>0.68338010000000005</v>
      </c>
      <c r="F27" s="13">
        <v>0.1506671</v>
      </c>
      <c r="G27" s="13">
        <v>0.69811259999999997</v>
      </c>
      <c r="H27" s="13">
        <v>0.55359709999999995</v>
      </c>
      <c r="I27" s="13">
        <v>0.45730310000000002</v>
      </c>
      <c r="L27" s="8">
        <v>-3.5837999999999998E-3</v>
      </c>
      <c r="M27" s="8">
        <v>1.6723391999999999</v>
      </c>
      <c r="N27" s="8">
        <v>0.4124198</v>
      </c>
      <c r="O27" s="8">
        <v>0.66233770000000003</v>
      </c>
      <c r="P27" s="8">
        <v>0.6123149</v>
      </c>
      <c r="Q27" s="8">
        <v>0.43439729999999999</v>
      </c>
      <c r="R27" s="8">
        <v>0.27436490000000002</v>
      </c>
      <c r="S27" s="8">
        <v>0.60071850000000004</v>
      </c>
      <c r="T27" s="3" t="s">
        <v>93</v>
      </c>
      <c r="U27" s="3" t="s">
        <v>94</v>
      </c>
    </row>
    <row r="28" spans="1:21" ht="18.45" customHeight="1" x14ac:dyDescent="0.4">
      <c r="A28" s="9" t="s">
        <v>69</v>
      </c>
      <c r="B28" s="13">
        <v>-2.7637999999999999E-3</v>
      </c>
      <c r="C28" s="13">
        <v>1.0127613</v>
      </c>
      <c r="D28" s="13">
        <v>0.55300769999999999</v>
      </c>
      <c r="E28" s="13">
        <v>0.57567219999999997</v>
      </c>
      <c r="F28" s="13">
        <v>1.0709803</v>
      </c>
      <c r="G28" s="13">
        <v>0.30137199999999997</v>
      </c>
      <c r="H28" s="13">
        <v>1.2728099999999999E-2</v>
      </c>
      <c r="I28" s="13">
        <v>0.91023259999999995</v>
      </c>
      <c r="L28" s="8">
        <v>3.3000999999999998E-3</v>
      </c>
      <c r="M28" s="8">
        <v>1.6132342</v>
      </c>
      <c r="N28" s="8">
        <v>2.9302752999999999</v>
      </c>
      <c r="O28" s="8">
        <v>5.4487800000000003E-2</v>
      </c>
      <c r="P28" s="8">
        <v>2.4169236000000001</v>
      </c>
      <c r="Q28" s="8">
        <v>0.1207927</v>
      </c>
      <c r="R28" s="8">
        <v>1.0805785999999999</v>
      </c>
      <c r="S28" s="8">
        <v>0.29917189999999999</v>
      </c>
      <c r="T28" s="3" t="s">
        <v>90</v>
      </c>
      <c r="U28" s="3" t="s">
        <v>95</v>
      </c>
    </row>
    <row r="29" spans="1:21" ht="18.45" customHeight="1" x14ac:dyDescent="0.4">
      <c r="A29" s="12" t="s">
        <v>68</v>
      </c>
      <c r="B29" s="14">
        <v>-3.5837999999999998E-3</v>
      </c>
      <c r="C29" s="14">
        <v>1.6723391999999999</v>
      </c>
      <c r="D29" s="14">
        <v>0.4124198</v>
      </c>
      <c r="E29" s="14">
        <v>0.66233770000000003</v>
      </c>
      <c r="F29" s="14">
        <v>0.6123149</v>
      </c>
      <c r="G29" s="14">
        <v>0.43439729999999999</v>
      </c>
      <c r="H29" s="14">
        <v>0.27436490000000002</v>
      </c>
      <c r="I29" s="14">
        <v>0.60071850000000004</v>
      </c>
      <c r="L29" s="8">
        <v>4.2120999999999999E-3</v>
      </c>
      <c r="M29" s="8">
        <v>2.1777869999999999</v>
      </c>
      <c r="N29" s="8">
        <v>4.3121352000000002</v>
      </c>
      <c r="O29" s="8">
        <v>1.40106E-2</v>
      </c>
      <c r="P29" s="8">
        <v>2.5338126999999999</v>
      </c>
      <c r="Q29" s="8">
        <v>0.1121921</v>
      </c>
      <c r="R29" s="8">
        <v>2.9164376000000001</v>
      </c>
      <c r="S29" s="8">
        <v>8.84273E-2</v>
      </c>
      <c r="T29" s="3" t="s">
        <v>92</v>
      </c>
      <c r="U29" s="3" t="s">
        <v>95</v>
      </c>
    </row>
    <row r="30" spans="1:21" ht="10.199999999999999" customHeight="1" x14ac:dyDescent="0.4">
      <c r="A30" s="9"/>
      <c r="B30" s="15"/>
      <c r="C30" s="15"/>
      <c r="D30" s="15"/>
      <c r="E30" s="15"/>
      <c r="F30" s="15"/>
      <c r="G30" s="15"/>
      <c r="H30" s="15"/>
      <c r="I30" s="15"/>
      <c r="L30" s="8">
        <v>7.5120999999999999E-3</v>
      </c>
      <c r="M30" s="8">
        <v>3.7910211999999999</v>
      </c>
      <c r="N30" s="8">
        <v>6.2412713000000002</v>
      </c>
      <c r="O30" s="8">
        <v>2.1351E-3</v>
      </c>
      <c r="P30" s="8">
        <v>2.6883324000000002</v>
      </c>
      <c r="Q30" s="8">
        <v>0.1018433</v>
      </c>
      <c r="R30" s="8">
        <v>4.7358941999999997</v>
      </c>
      <c r="S30" s="8">
        <v>3.01015E-2</v>
      </c>
      <c r="T30" s="3" t="s">
        <v>93</v>
      </c>
      <c r="U30" s="3" t="s">
        <v>95</v>
      </c>
    </row>
    <row r="31" spans="1:21" ht="18.45" customHeight="1" x14ac:dyDescent="0.4">
      <c r="A31" s="12"/>
      <c r="B31" s="19" t="s">
        <v>71</v>
      </c>
      <c r="C31" s="19"/>
      <c r="D31" s="19"/>
      <c r="E31" s="19"/>
      <c r="F31" s="19"/>
      <c r="G31" s="19"/>
      <c r="H31" s="19"/>
      <c r="I31" s="19"/>
    </row>
    <row r="32" spans="1:21" ht="18.45" customHeight="1" x14ac:dyDescent="0.4">
      <c r="A32" s="9" t="s">
        <v>70</v>
      </c>
      <c r="B32" s="13">
        <v>3.3000999999999998E-3</v>
      </c>
      <c r="C32" s="13">
        <v>1.6132342</v>
      </c>
      <c r="D32" s="13">
        <v>2.9302752999999999</v>
      </c>
      <c r="E32" s="13">
        <v>5.4487800000000003E-2</v>
      </c>
      <c r="F32" s="13">
        <v>2.4169236000000001</v>
      </c>
      <c r="G32" s="13">
        <v>0.1207927</v>
      </c>
      <c r="H32" s="13">
        <v>1.0805785999999999</v>
      </c>
      <c r="I32" s="13">
        <v>0.29917189999999999</v>
      </c>
    </row>
    <row r="33" spans="1:9" ht="18.45" customHeight="1" x14ac:dyDescent="0.4">
      <c r="A33" s="9" t="s">
        <v>69</v>
      </c>
      <c r="B33" s="13">
        <v>4.2120999999999999E-3</v>
      </c>
      <c r="C33" s="13">
        <v>2.1777869999999999</v>
      </c>
      <c r="D33" s="13">
        <v>4.3121352000000002</v>
      </c>
      <c r="E33" s="20">
        <v>1.40106E-2</v>
      </c>
      <c r="F33" s="13">
        <v>2.5338126999999999</v>
      </c>
      <c r="G33" s="13">
        <v>0.1121921</v>
      </c>
      <c r="H33" s="13">
        <v>2.9164376000000001</v>
      </c>
      <c r="I33" s="13">
        <v>8.84273E-2</v>
      </c>
    </row>
    <row r="34" spans="1:9" ht="18.45" customHeight="1" x14ac:dyDescent="0.4">
      <c r="A34" s="12" t="s">
        <v>68</v>
      </c>
      <c r="B34" s="14">
        <v>7.5120999999999999E-3</v>
      </c>
      <c r="C34" s="14">
        <v>3.7910211999999999</v>
      </c>
      <c r="D34" s="14">
        <v>6.2412713000000002</v>
      </c>
      <c r="E34" s="21">
        <v>2.1351E-3</v>
      </c>
      <c r="F34" s="14">
        <v>2.6883324000000002</v>
      </c>
      <c r="G34" s="14">
        <v>0.1018433</v>
      </c>
      <c r="H34" s="14">
        <v>4.7358941999999997</v>
      </c>
      <c r="I34" s="21">
        <v>3.01015E-2</v>
      </c>
    </row>
    <row r="35" spans="1:9" ht="18.45" customHeight="1" x14ac:dyDescent="0.4"/>
    <row r="36" spans="1:9" ht="18.45" customHeight="1" x14ac:dyDescent="0.4"/>
  </sheetData>
  <mergeCells count="10">
    <mergeCell ref="B8:I8"/>
    <mergeCell ref="B13:I13"/>
    <mergeCell ref="D1:E1"/>
    <mergeCell ref="B3:I3"/>
    <mergeCell ref="F1:I1"/>
    <mergeCell ref="D19:E19"/>
    <mergeCell ref="F19:I19"/>
    <mergeCell ref="B21:I21"/>
    <mergeCell ref="B26:I26"/>
    <mergeCell ref="B31:I31"/>
  </mergeCells>
  <phoneticPr fontId="2" type="noConversion"/>
  <conditionalFormatting sqref="O2:O10">
    <cfRule type="cellIs" dxfId="6" priority="4" operator="lessThan">
      <formula>0.05</formula>
    </cfRule>
  </conditionalFormatting>
  <conditionalFormatting sqref="S2:S10">
    <cfRule type="cellIs" dxfId="5" priority="3" operator="lessThan">
      <formula>0.05</formula>
    </cfRule>
  </conditionalFormatting>
  <conditionalFormatting sqref="O22:O30">
    <cfRule type="cellIs" dxfId="4" priority="2" operator="lessThan">
      <formula>0.05</formula>
    </cfRule>
  </conditionalFormatting>
  <conditionalFormatting sqref="S22:S30">
    <cfRule type="cellIs" dxfId="3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6DA8-EA45-4648-B691-E1130B7CA0B4}">
  <dimension ref="A1"/>
  <sheetViews>
    <sheetView workbookViewId="0">
      <selection activeCell="B2" sqref="B2:Q10"/>
    </sheetView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7DB8-D62F-4C6A-BC5D-A3782373BF21}">
  <dimension ref="B2:K11"/>
  <sheetViews>
    <sheetView workbookViewId="0">
      <selection activeCell="G17" sqref="G17"/>
    </sheetView>
  </sheetViews>
  <sheetFormatPr defaultRowHeight="17.399999999999999" x14ac:dyDescent="0.4"/>
  <cols>
    <col min="2" max="9" width="10.8984375" customWidth="1"/>
    <col min="10" max="10" width="31.69921875" bestFit="1" customWidth="1"/>
    <col min="11" max="11" width="13.3984375" bestFit="1" customWidth="1"/>
  </cols>
  <sheetData>
    <row r="2" spans="2:11" x14ac:dyDescent="0.4"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</row>
    <row r="3" spans="2:11" x14ac:dyDescent="0.4">
      <c r="B3" s="2">
        <v>1.4047E-3</v>
      </c>
      <c r="C3" s="2">
        <v>1.3918747</v>
      </c>
      <c r="D3" s="2">
        <v>1.7131715999999999</v>
      </c>
      <c r="E3" s="2">
        <v>0.1809307</v>
      </c>
      <c r="F3" s="2">
        <v>0.8971211</v>
      </c>
      <c r="G3" s="2">
        <v>0.34383079999999999</v>
      </c>
      <c r="H3" s="2">
        <v>2.5295356</v>
      </c>
      <c r="I3" s="2">
        <v>0.1121139</v>
      </c>
      <c r="J3" t="s">
        <v>90</v>
      </c>
      <c r="K3" t="s">
        <v>91</v>
      </c>
    </row>
    <row r="4" spans="2:11" x14ac:dyDescent="0.4">
      <c r="B4" s="2">
        <v>7.3329999999999999E-4</v>
      </c>
      <c r="C4" s="2">
        <v>1.9205553</v>
      </c>
      <c r="D4" s="2">
        <v>4.4221678000000004</v>
      </c>
      <c r="E4" s="2">
        <v>1.22928E-2</v>
      </c>
      <c r="F4" s="2">
        <v>0.16386809999999999</v>
      </c>
      <c r="G4" s="2">
        <v>0.68572440000000001</v>
      </c>
      <c r="H4" s="2">
        <v>8.6892209999999999</v>
      </c>
      <c r="I4" s="2">
        <v>3.2907000000000001E-3</v>
      </c>
      <c r="J4" t="s">
        <v>92</v>
      </c>
      <c r="K4" t="s">
        <v>91</v>
      </c>
    </row>
    <row r="5" spans="2:11" x14ac:dyDescent="0.4">
      <c r="B5" s="2">
        <v>2.1378999999999999E-3</v>
      </c>
      <c r="C5" s="2">
        <v>3.31243</v>
      </c>
      <c r="D5" s="2">
        <v>9.6694324999999992</v>
      </c>
      <c r="E5" s="2">
        <v>7.0599999999999995E-5</v>
      </c>
      <c r="F5" s="2">
        <v>0.47799009999999997</v>
      </c>
      <c r="G5" s="2">
        <v>0.48952770000000001</v>
      </c>
      <c r="H5" s="2">
        <v>18.8727445</v>
      </c>
      <c r="I5" s="2">
        <v>1.5699999999999999E-5</v>
      </c>
      <c r="J5" t="s">
        <v>93</v>
      </c>
      <c r="K5" t="s">
        <v>91</v>
      </c>
    </row>
    <row r="6" spans="2:11" x14ac:dyDescent="0.4">
      <c r="B6" s="2">
        <v>-2.0570000000000001E-4</v>
      </c>
      <c r="C6" s="2">
        <v>0.65553430000000001</v>
      </c>
      <c r="D6" s="2">
        <v>0.2266032</v>
      </c>
      <c r="E6" s="2">
        <v>0.79733639999999995</v>
      </c>
      <c r="F6" s="2">
        <v>8.6227000000000005E-3</v>
      </c>
      <c r="G6" s="2">
        <v>0.92606120000000003</v>
      </c>
      <c r="H6" s="2">
        <v>0.44565339999999998</v>
      </c>
      <c r="I6" s="2">
        <v>0.50477919999999998</v>
      </c>
      <c r="J6" t="s">
        <v>90</v>
      </c>
      <c r="K6" t="s">
        <v>94</v>
      </c>
    </row>
    <row r="7" spans="2:11" x14ac:dyDescent="0.4">
      <c r="B7" s="2">
        <v>-2.4502E-3</v>
      </c>
      <c r="C7" s="2">
        <v>1.1917589</v>
      </c>
      <c r="D7" s="2">
        <v>0.45217309999999999</v>
      </c>
      <c r="E7" s="2">
        <v>0.6365594</v>
      </c>
      <c r="F7" s="2">
        <v>0.8713265</v>
      </c>
      <c r="G7" s="2">
        <v>0.35113509999999998</v>
      </c>
      <c r="H7" s="2">
        <v>3.3029999999999997E-2</v>
      </c>
      <c r="I7" s="2">
        <v>0.85587460000000004</v>
      </c>
      <c r="J7" t="s">
        <v>92</v>
      </c>
      <c r="K7" t="s">
        <v>94</v>
      </c>
    </row>
    <row r="8" spans="2:11" x14ac:dyDescent="0.4">
      <c r="B8" s="2">
        <v>-2.6557999999999998E-3</v>
      </c>
      <c r="C8" s="2">
        <v>1.8472930999999999</v>
      </c>
      <c r="D8" s="2">
        <v>0.43372699999999997</v>
      </c>
      <c r="E8" s="2">
        <v>0.64838470000000004</v>
      </c>
      <c r="F8" s="2">
        <v>0.3528926</v>
      </c>
      <c r="G8" s="2">
        <v>0.55280629999999997</v>
      </c>
      <c r="H8" s="2">
        <v>0.51536890000000002</v>
      </c>
      <c r="I8" s="2">
        <v>0.47322979999999998</v>
      </c>
      <c r="J8" t="s">
        <v>93</v>
      </c>
      <c r="K8" t="s">
        <v>94</v>
      </c>
    </row>
    <row r="9" spans="2:11" x14ac:dyDescent="0.4">
      <c r="B9" s="2">
        <v>3.3471E-3</v>
      </c>
      <c r="C9" s="2">
        <v>1.6174229</v>
      </c>
      <c r="D9" s="2">
        <v>3.9532734</v>
      </c>
      <c r="E9" s="2">
        <v>1.99224E-2</v>
      </c>
      <c r="F9" s="2">
        <v>2.8721407000000001</v>
      </c>
      <c r="G9" s="2">
        <v>9.0878700000000007E-2</v>
      </c>
      <c r="H9" s="2">
        <v>5.0117425999999998</v>
      </c>
      <c r="I9" s="2">
        <v>2.57066E-2</v>
      </c>
      <c r="J9" t="s">
        <v>90</v>
      </c>
      <c r="K9" t="s">
        <v>95</v>
      </c>
    </row>
    <row r="10" spans="2:11" x14ac:dyDescent="0.4">
      <c r="B10" s="2">
        <v>4.2331000000000001E-3</v>
      </c>
      <c r="C10" s="2">
        <v>2.1742889000000001</v>
      </c>
      <c r="D10" s="2">
        <v>6.9705664000000001</v>
      </c>
      <c r="E10" s="2">
        <v>1.0536E-3</v>
      </c>
      <c r="F10" s="2">
        <v>2.8666908000000002</v>
      </c>
      <c r="G10" s="2">
        <v>9.1184699999999994E-2</v>
      </c>
      <c r="H10" s="2">
        <v>11.0247324</v>
      </c>
      <c r="I10" s="2">
        <v>9.787000000000001E-4</v>
      </c>
      <c r="J10" t="s">
        <v>92</v>
      </c>
      <c r="K10" t="s">
        <v>95</v>
      </c>
    </row>
    <row r="11" spans="2:11" x14ac:dyDescent="0.4">
      <c r="B11" s="2">
        <v>7.5801999999999996E-3</v>
      </c>
      <c r="C11" s="2">
        <v>3.7917117999999999</v>
      </c>
      <c r="D11" s="2">
        <v>12.144167899999999</v>
      </c>
      <c r="E11" s="2">
        <v>7.5000000000000002E-6</v>
      </c>
      <c r="F11" s="2">
        <v>3.1450583000000001</v>
      </c>
      <c r="G11" s="2">
        <v>7.6894100000000007E-2</v>
      </c>
      <c r="H11" s="2">
        <v>21.034292499999999</v>
      </c>
      <c r="I11" s="2">
        <v>6.0000000000000002E-6</v>
      </c>
      <c r="J11" t="s">
        <v>93</v>
      </c>
      <c r="K11" t="s">
        <v>95</v>
      </c>
    </row>
  </sheetData>
  <phoneticPr fontId="2" type="noConversion"/>
  <conditionalFormatting sqref="E3:E11">
    <cfRule type="cellIs" dxfId="2" priority="3" operator="lessThan">
      <formula>0.05</formula>
    </cfRule>
  </conditionalFormatting>
  <conditionalFormatting sqref="G3:G11">
    <cfRule type="cellIs" dxfId="1" priority="2" operator="lessThan">
      <formula>0.05</formula>
    </cfRule>
  </conditionalFormatting>
  <conditionalFormatting sqref="I3:I11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ivy10</vt:lpstr>
      <vt:lpstr>yale</vt:lpstr>
      <vt:lpstr>harvard</vt:lpstr>
      <vt:lpstr>test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 2017 ha</cp:lastModifiedBy>
  <cp:revision/>
  <cp:lastPrinted>2022-02-17T12:50:52Z</cp:lastPrinted>
  <dcterms:created xsi:type="dcterms:W3CDTF">2021-12-26T10:45:52Z</dcterms:created>
  <dcterms:modified xsi:type="dcterms:W3CDTF">2022-02-17T13:01:20Z</dcterms:modified>
  <cp:category/>
  <cp:contentStatus/>
</cp:coreProperties>
</file>