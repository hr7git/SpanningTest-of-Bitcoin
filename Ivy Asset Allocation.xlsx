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nap\Dropbox\ak2424\KD\1. SRP\r_test_0213\"/>
    </mc:Choice>
  </mc:AlternateContent>
  <xr:revisionPtr revIDLastSave="0" documentId="13_ncr:1_{67AA0E2B-0153-41D6-B036-E012E3BA147B}" xr6:coauthVersionLast="47" xr6:coauthVersionMax="47" xr10:uidLastSave="{00000000-0000-0000-0000-000000000000}"/>
  <bookViews>
    <workbookView xWindow="-25725" yWindow="2160" windowWidth="25830" windowHeight="13335" activeTab="4" xr2:uid="{00000000-000D-0000-FFFF-FFFF00000000}"/>
  </bookViews>
  <sheets>
    <sheet name="ivy10" sheetId="2" r:id="rId1"/>
    <sheet name="yale" sheetId="3" r:id="rId2"/>
    <sheet name="harvard" sheetId="4" r:id="rId3"/>
    <sheet name="test" sheetId="5" r:id="rId4"/>
    <sheet name="eff_line" sheetId="8" r:id="rId5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3" i="5" l="1"/>
  <c r="E33" i="5"/>
  <c r="F33" i="5"/>
  <c r="G33" i="5"/>
  <c r="H33" i="5"/>
  <c r="I33" i="5"/>
  <c r="J33" i="5"/>
  <c r="D34" i="5"/>
  <c r="E34" i="5"/>
  <c r="F34" i="5"/>
  <c r="G34" i="5"/>
  <c r="H34" i="5"/>
  <c r="I34" i="5"/>
  <c r="J34" i="5"/>
  <c r="D35" i="5"/>
  <c r="E35" i="5"/>
  <c r="F35" i="5"/>
  <c r="G35" i="5"/>
  <c r="H35" i="5"/>
  <c r="I35" i="5"/>
  <c r="J35" i="5"/>
  <c r="D28" i="5"/>
  <c r="E28" i="5"/>
  <c r="F28" i="5"/>
  <c r="G28" i="5"/>
  <c r="H28" i="5"/>
  <c r="I28" i="5"/>
  <c r="J28" i="5"/>
  <c r="D29" i="5"/>
  <c r="E29" i="5"/>
  <c r="F29" i="5"/>
  <c r="G29" i="5"/>
  <c r="H29" i="5"/>
  <c r="I29" i="5"/>
  <c r="J29" i="5"/>
  <c r="D30" i="5"/>
  <c r="E30" i="5"/>
  <c r="F30" i="5"/>
  <c r="G30" i="5"/>
  <c r="H30" i="5"/>
  <c r="I30" i="5"/>
  <c r="J30" i="5"/>
  <c r="D23" i="5"/>
  <c r="E23" i="5"/>
  <c r="F23" i="5"/>
  <c r="G23" i="5"/>
  <c r="H23" i="5"/>
  <c r="I23" i="5"/>
  <c r="J23" i="5"/>
  <c r="D24" i="5"/>
  <c r="E24" i="5"/>
  <c r="F24" i="5"/>
  <c r="G24" i="5"/>
  <c r="H24" i="5"/>
  <c r="I24" i="5"/>
  <c r="J24" i="5"/>
  <c r="D25" i="5"/>
  <c r="E25" i="5"/>
  <c r="F25" i="5"/>
  <c r="G25" i="5"/>
  <c r="H25" i="5"/>
  <c r="I25" i="5"/>
  <c r="J25" i="5"/>
  <c r="C35" i="5"/>
  <c r="C34" i="5"/>
  <c r="C33" i="5"/>
  <c r="C30" i="5"/>
  <c r="C29" i="5"/>
  <c r="C28" i="5"/>
  <c r="C25" i="5"/>
  <c r="C24" i="5"/>
  <c r="C23" i="5"/>
  <c r="D15" i="5"/>
  <c r="E15" i="5"/>
  <c r="F15" i="5"/>
  <c r="G15" i="5"/>
  <c r="H15" i="5"/>
  <c r="I15" i="5"/>
  <c r="J15" i="5"/>
  <c r="D16" i="5"/>
  <c r="E16" i="5"/>
  <c r="F16" i="5"/>
  <c r="G16" i="5"/>
  <c r="H16" i="5"/>
  <c r="I16" i="5"/>
  <c r="J16" i="5"/>
  <c r="D17" i="5"/>
  <c r="E17" i="5"/>
  <c r="F17" i="5"/>
  <c r="G17" i="5"/>
  <c r="H17" i="5"/>
  <c r="I17" i="5"/>
  <c r="J17" i="5"/>
  <c r="C17" i="5"/>
  <c r="C16" i="5"/>
  <c r="C15" i="5"/>
  <c r="D10" i="5"/>
  <c r="E10" i="5"/>
  <c r="F10" i="5"/>
  <c r="G10" i="5"/>
  <c r="H10" i="5"/>
  <c r="I10" i="5"/>
  <c r="J10" i="5"/>
  <c r="D11" i="5"/>
  <c r="E11" i="5"/>
  <c r="F11" i="5"/>
  <c r="G11" i="5"/>
  <c r="H11" i="5"/>
  <c r="I11" i="5"/>
  <c r="J11" i="5"/>
  <c r="D12" i="5"/>
  <c r="E12" i="5"/>
  <c r="F12" i="5"/>
  <c r="G12" i="5"/>
  <c r="H12" i="5"/>
  <c r="I12" i="5"/>
  <c r="J12" i="5"/>
  <c r="C12" i="5"/>
  <c r="C11" i="5"/>
  <c r="C10" i="5"/>
  <c r="D5" i="5"/>
  <c r="E5" i="5"/>
  <c r="F5" i="5"/>
  <c r="G5" i="5"/>
  <c r="H5" i="5"/>
  <c r="I5" i="5"/>
  <c r="J5" i="5"/>
  <c r="D6" i="5"/>
  <c r="E6" i="5"/>
  <c r="F6" i="5"/>
  <c r="G6" i="5"/>
  <c r="H6" i="5"/>
  <c r="I6" i="5"/>
  <c r="J6" i="5"/>
  <c r="D7" i="5"/>
  <c r="E7" i="5"/>
  <c r="F7" i="5"/>
  <c r="G7" i="5"/>
  <c r="H7" i="5"/>
  <c r="I7" i="5"/>
  <c r="J7" i="5"/>
  <c r="C7" i="5"/>
  <c r="C6" i="5"/>
  <c r="C5" i="5"/>
  <c r="G29" i="8"/>
  <c r="F29" i="8"/>
  <c r="C29" i="8"/>
  <c r="G27" i="8"/>
  <c r="F27" i="8"/>
  <c r="C27" i="8"/>
  <c r="G25" i="8"/>
  <c r="F25" i="8"/>
  <c r="C25" i="8"/>
  <c r="G20" i="8"/>
  <c r="F20" i="8"/>
  <c r="G18" i="8"/>
  <c r="F18" i="8"/>
  <c r="C20" i="8"/>
  <c r="C18" i="8"/>
  <c r="G16" i="8"/>
  <c r="F16" i="8"/>
  <c r="C16" i="8"/>
  <c r="G11" i="8"/>
  <c r="F11" i="8"/>
  <c r="C11" i="8"/>
  <c r="G9" i="8"/>
  <c r="F9" i="8"/>
  <c r="C9" i="8"/>
  <c r="G7" i="8"/>
  <c r="F7" i="8"/>
  <c r="C7" i="8"/>
</calcChain>
</file>

<file path=xl/sharedStrings.xml><?xml version="1.0" encoding="utf-8"?>
<sst xmlns="http://schemas.openxmlformats.org/spreadsheetml/2006/main" count="204" uniqueCount="110">
  <si>
    <t>Portfolio Components</t>
  </si>
  <si>
    <t>Asset Class</t>
  </si>
  <si>
    <t>Ticker</t>
  </si>
  <si>
    <t>Explanation</t>
  </si>
  <si>
    <t>Total Stock Market</t>
  </si>
  <si>
    <t>Stock</t>
  </si>
  <si>
    <t>VTI</t>
  </si>
  <si>
    <t>Vanguard Total Stock Market ETF</t>
  </si>
  <si>
    <t>U.S. Large Cap</t>
  </si>
  <si>
    <t>VV</t>
  </si>
  <si>
    <t>Vanguard Large-Cap ETF</t>
  </si>
  <si>
    <t>U.S. Small Cap</t>
  </si>
  <si>
    <t>VB</t>
  </si>
  <si>
    <t>Vanguard Small-Cap ETF</t>
  </si>
  <si>
    <t>International Developed Blend</t>
  </si>
  <si>
    <t>IDHQ</t>
  </si>
  <si>
    <t>Invesco S&amp;P International Developed Quality ETF</t>
  </si>
  <si>
    <t>Emerging Markets</t>
  </si>
  <si>
    <t>VWO</t>
  </si>
  <si>
    <t>Vanguard FTSE Emerging Markets ETF</t>
  </si>
  <si>
    <t>Total U.S. Bond Fund</t>
  </si>
  <si>
    <t>Bond</t>
  </si>
  <si>
    <t>BND</t>
  </si>
  <si>
    <t>Vanguard Total Bond Market ETF</t>
  </si>
  <si>
    <t>TIPS</t>
  </si>
  <si>
    <t>TIP</t>
  </si>
  <si>
    <t>iShares TIPS Bond ETF</t>
  </si>
  <si>
    <t>Commodities</t>
  </si>
  <si>
    <t>GSG</t>
  </si>
  <si>
    <t>iShares S&amp;P GSCI Commodity Indexed Trust</t>
  </si>
  <si>
    <t>REITs</t>
  </si>
  <si>
    <t>Real Estate</t>
  </si>
  <si>
    <t>VNQ</t>
  </si>
  <si>
    <t>Vanguard Real Estate ETF</t>
  </si>
  <si>
    <t>International REITs</t>
  </si>
  <si>
    <t>VNQI</t>
  </si>
  <si>
    <t>Vanguard Global ex-U.S. Real Estate ETF</t>
  </si>
  <si>
    <t xml:space="preserve">  Asset Class |Ratio |Ticker |ETF Explanation</t>
  </si>
  <si>
    <t xml:space="preserve"> :------ | :---  | :---   | :--------</t>
  </si>
  <si>
    <t xml:space="preserve"> Total Stock Market        |30%    | VTI  |Vanguard Total Stock Market ETF </t>
  </si>
  <si>
    <t xml:space="preserve"> International Stock Market|15%    | VXUS |Vanguard Total International Stock ETF  </t>
  </si>
  <si>
    <t xml:space="preserve"> Emerging Markets          |5%     | VWO  |Vanguard FTSE Emerging Markets ETF </t>
  </si>
  <si>
    <t xml:space="preserve"> Intermediate Treasury Bonds|15%   | VGIT |Vanguard Intermediate-Term Treasury Index ETF</t>
  </si>
  <si>
    <t xml:space="preserve"> TIPS                      |15%    | SCHP |Schwab U.S. TIPS ETF</t>
  </si>
  <si>
    <t xml:space="preserve"> REITs                     |20%    | VNQ  |Vanguard Real Estate ETF  </t>
  </si>
  <si>
    <t>No</t>
  </si>
  <si>
    <t>Domestic-Equity</t>
  </si>
  <si>
    <t>80% S&amp;P 500; 16% S&amp;P Mid Cap; 4% Russell 2000</t>
  </si>
  <si>
    <t>Foreign-Equity</t>
  </si>
  <si>
    <t>93% EAFE; 7% Salomon Extended Market Index (excluding US and EAFE overlap)</t>
  </si>
  <si>
    <t>Emerging-Markets</t>
  </si>
  <si>
    <t>IFC Global Index and EMBI+</t>
  </si>
  <si>
    <t>Private-Equity</t>
  </si>
  <si>
    <t>Cambridge Associates Weighted Composite</t>
  </si>
  <si>
    <t>Absolute-Return</t>
  </si>
  <si>
    <t>LIBOR + 5%</t>
  </si>
  <si>
    <t>High Yield</t>
  </si>
  <si>
    <t>Salomon High Yield and Bankrupt</t>
  </si>
  <si>
    <t>60% GSCI; 40% NCREIF Timber Index</t>
  </si>
  <si>
    <t>NCREIF Property Index</t>
  </si>
  <si>
    <t>Domestic  Bonds</t>
  </si>
  <si>
    <t>Lehman 5 + Year Treasury Index</t>
  </si>
  <si>
    <t>Foreign Bonds</t>
  </si>
  <si>
    <t>J.P. Morgan Non U.S.</t>
  </si>
  <si>
    <t>Inflation-Indexed</t>
  </si>
  <si>
    <t>Salomon TIPS</t>
  </si>
  <si>
    <t>Cash</t>
  </si>
  <si>
    <t>3-month LIBOR</t>
  </si>
  <si>
    <t>BTC+ETH</t>
  </si>
  <si>
    <t>ETH</t>
  </si>
  <si>
    <t>BTC</t>
  </si>
  <si>
    <t>Pr(&gt;F)</t>
  </si>
  <si>
    <t>F-test</t>
    <phoneticPr fontId="3" type="noConversion"/>
  </si>
  <si>
    <t>beta</t>
    <phoneticPr fontId="3" type="noConversion"/>
  </si>
  <si>
    <t>alpha</t>
    <phoneticPr fontId="3" type="noConversion"/>
  </si>
  <si>
    <t>Step-Down test</t>
    <phoneticPr fontId="3" type="noConversion"/>
  </si>
  <si>
    <t>HK test</t>
    <phoneticPr fontId="3" type="noConversion"/>
  </si>
  <si>
    <t>alpha</t>
  </si>
  <si>
    <t>beta</t>
  </si>
  <si>
    <t>HK_F</t>
  </si>
  <si>
    <t>HK_Pr</t>
  </si>
  <si>
    <t>st1_F</t>
  </si>
  <si>
    <t>st1_Pr</t>
  </si>
  <si>
    <t>st2_F</t>
  </si>
  <si>
    <t>st2_Pr</t>
  </si>
  <si>
    <t>lm_model</t>
  </si>
  <si>
    <t>lm_data</t>
  </si>
  <si>
    <t>rets2</t>
  </si>
  <si>
    <t>rets2[“/2019”]</t>
  </si>
  <si>
    <t>rets2[“2020/”]</t>
  </si>
  <si>
    <r>
      <t>F</t>
    </r>
    <r>
      <rPr>
        <vertAlign val="subscript"/>
        <sz val="9"/>
        <rFont val="Times New Roman"/>
        <family val="1"/>
      </rPr>
      <t>1</t>
    </r>
    <phoneticPr fontId="3" type="noConversion"/>
  </si>
  <si>
    <r>
      <t xml:space="preserve"> F</t>
    </r>
    <r>
      <rPr>
        <i/>
        <vertAlign val="subscript"/>
        <sz val="9"/>
        <rFont val="Times New Roman"/>
        <family val="1"/>
      </rPr>
      <t>2</t>
    </r>
    <r>
      <rPr>
        <i/>
        <sz val="9"/>
        <rFont val="Times New Roman"/>
        <family val="1"/>
      </rPr>
      <t xml:space="preserve"> </t>
    </r>
    <phoneticPr fontId="3" type="noConversion"/>
  </si>
  <si>
    <t>Tangent point</t>
    <phoneticPr fontId="3" type="noConversion"/>
  </si>
  <si>
    <t>Global minimum variance</t>
    <phoneticPr fontId="3" type="noConversion"/>
  </si>
  <si>
    <t>Portfolio Set</t>
    <phoneticPr fontId="3" type="noConversion"/>
  </si>
  <si>
    <t>x</t>
    <phoneticPr fontId="3" type="noConversion"/>
  </si>
  <si>
    <t>y</t>
    <phoneticPr fontId="3" type="noConversion"/>
  </si>
  <si>
    <t>SNP,TLT</t>
  </si>
  <si>
    <t>SNP,TLT,BTC</t>
  </si>
  <si>
    <t>SNP,TLT,ETH</t>
  </si>
  <si>
    <t>SNP,TLT,BTC,ETH</t>
  </si>
  <si>
    <t>slope</t>
    <phoneticPr fontId="3" type="noConversion"/>
  </si>
  <si>
    <t xml:space="preserve">Entire Period :  2017/11 ~ 2021/12 </t>
    <phoneticPr fontId="3" type="noConversion"/>
  </si>
  <si>
    <t xml:space="preserve">Second Subperiod :  2020/01 ~ 2021/12 </t>
    <phoneticPr fontId="3" type="noConversion"/>
  </si>
  <si>
    <t>BTC ~ (SNP + TLT)</t>
  </si>
  <si>
    <t>ETH ~ (SNP + TLT)</t>
  </si>
  <si>
    <t>BTC + ETH ~ (SNP + TLT)</t>
  </si>
  <si>
    <t>Conditional Homoskedasticity</t>
    <phoneticPr fontId="2" type="noConversion"/>
  </si>
  <si>
    <t>Conditional Heteroskedasticity</t>
    <phoneticPr fontId="2" type="noConversion"/>
  </si>
  <si>
    <t xml:space="preserve">First Subperiod :  2017/11 ~ 2019/12 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</si>
</sst>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00"/>
  </numFmts>
  <fonts count="21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Times New Roman"/>
      <family val="1"/>
    </font>
    <font>
      <vertAlign val="subscript"/>
      <sz val="11"/>
      <color theme="1"/>
      <name val="Times New Roman"/>
      <family val="1"/>
    </font>
    <font>
      <i/>
      <sz val="9"/>
      <name val="Times New Roman"/>
      <family val="1"/>
    </font>
    <font>
      <vertAlign val="subscript"/>
      <sz val="9"/>
      <name val="Times New Roman"/>
      <family val="1"/>
    </font>
    <font>
      <i/>
      <vertAlign val="subscript"/>
      <sz val="9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sz val="11"/>
      <name val="Times New Roman"/>
      <family val="1"/>
    </font>
    <font>
      <i/>
      <sz val="9"/>
      <color theme="1"/>
      <name val="Times New Roman"/>
      <family val="1"/>
    </font>
    <font>
      <b/>
      <i/>
      <sz val="9"/>
      <color rgb="FF333333"/>
      <name val="Times New Roman"/>
      <family val="1"/>
    </font>
    <font>
      <i/>
      <sz val="9"/>
      <color rgb="FF333333"/>
      <name val="Times New Roman"/>
      <family val="1"/>
    </font>
    <font>
      <sz val="10"/>
      <name val="Times New Roman"/>
      <family val="1"/>
    </font>
    <font>
      <sz val="9"/>
      <color rgb="FF333333"/>
      <name val="Times New Roman"/>
      <family val="1"/>
    </font>
    <font>
      <sz val="9"/>
      <color theme="1"/>
      <name val="Times New Roman"/>
      <family val="1"/>
    </font>
    <font>
      <sz val="8"/>
      <color rgb="FF1E0DFB"/>
      <name val="Times New Roman"/>
      <family val="1"/>
    </font>
    <font>
      <i/>
      <sz val="8"/>
      <color rgb="FF1E0DFB"/>
      <name val="Times New Roman"/>
      <family val="1"/>
    </font>
    <font>
      <sz val="8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rgb="FFDDDDDD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rgb="FFDDDDDD"/>
      </top>
      <bottom style="thin">
        <color indexed="64"/>
      </bottom>
      <diagonal/>
    </border>
  </borders>
  <cellStyleXfs count="2">
    <xf numFmtId="0" fontId="0" fillId="0" borderId="0"/>
    <xf numFmtId="0" fontId="1" fillId="0" borderId="0">
      <alignment vertical="center"/>
    </xf>
  </cellStyleXfs>
  <cellXfs count="50">
    <xf numFmtId="0" fontId="0" fillId="0" borderId="0" xfId="0"/>
    <xf numFmtId="0" fontId="0" fillId="0" borderId="1" xfId="0" applyBorder="1"/>
    <xf numFmtId="0" fontId="4" fillId="0" borderId="0" xfId="1" applyFont="1">
      <alignment vertical="center"/>
    </xf>
    <xf numFmtId="0" fontId="4" fillId="0" borderId="0" xfId="1" applyFont="1" applyAlignment="1">
      <alignment horizontal="center" vertical="center"/>
    </xf>
    <xf numFmtId="0" fontId="5" fillId="0" borderId="0" xfId="0" applyFont="1"/>
    <xf numFmtId="0" fontId="6" fillId="0" borderId="0" xfId="1" applyFont="1">
      <alignment vertical="center"/>
    </xf>
    <xf numFmtId="0" fontId="6" fillId="0" borderId="0" xfId="1" applyFont="1" applyAlignment="1">
      <alignment horizontal="center" vertical="center"/>
    </xf>
    <xf numFmtId="0" fontId="6" fillId="0" borderId="2" xfId="1" applyFont="1" applyBorder="1" applyAlignment="1">
      <alignment horizontal="center" vertical="center"/>
    </xf>
    <xf numFmtId="0" fontId="6" fillId="0" borderId="2" xfId="1" applyFont="1" applyBorder="1">
      <alignment vertical="center"/>
    </xf>
    <xf numFmtId="176" fontId="9" fillId="0" borderId="0" xfId="1" applyNumberFormat="1" applyFont="1" applyAlignment="1">
      <alignment horizontal="right" vertical="center"/>
    </xf>
    <xf numFmtId="176" fontId="9" fillId="0" borderId="2" xfId="1" applyNumberFormat="1" applyFont="1" applyBorder="1" applyAlignment="1">
      <alignment horizontal="right" vertical="center"/>
    </xf>
    <xf numFmtId="0" fontId="9" fillId="0" borderId="0" xfId="1" applyFont="1" applyAlignment="1">
      <alignment horizontal="center" vertical="center"/>
    </xf>
    <xf numFmtId="0" fontId="11" fillId="0" borderId="0" xfId="1" applyFont="1">
      <alignment vertical="center"/>
    </xf>
    <xf numFmtId="0" fontId="11" fillId="0" borderId="0" xfId="1" applyFont="1" applyAlignment="1">
      <alignment horizontal="center" vertical="center"/>
    </xf>
    <xf numFmtId="0" fontId="6" fillId="0" borderId="2" xfId="1" applyFont="1" applyBorder="1" applyAlignment="1">
      <alignment horizontal="center" vertical="center"/>
    </xf>
    <xf numFmtId="0" fontId="6" fillId="0" borderId="0" xfId="1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12" fillId="0" borderId="2" xfId="0" applyFont="1" applyBorder="1" applyAlignment="1">
      <alignment horizontal="center" vertical="center"/>
    </xf>
    <xf numFmtId="0" fontId="12" fillId="2" borderId="0" xfId="0" applyFont="1" applyFill="1" applyAlignment="1">
      <alignment vertical="center"/>
    </xf>
    <xf numFmtId="0" fontId="12" fillId="0" borderId="4" xfId="0" applyFont="1" applyBorder="1" applyAlignment="1">
      <alignment vertical="center"/>
    </xf>
    <xf numFmtId="0" fontId="12" fillId="0" borderId="0" xfId="0" applyFont="1" applyAlignment="1">
      <alignment horizontal="left" vertical="center"/>
    </xf>
    <xf numFmtId="0" fontId="13" fillId="2" borderId="4" xfId="0" applyFont="1" applyFill="1" applyBorder="1" applyAlignment="1">
      <alignment horizontal="left" vertical="center" wrapText="1"/>
    </xf>
    <xf numFmtId="0" fontId="14" fillId="2" borderId="0" xfId="0" applyFont="1" applyFill="1" applyAlignment="1">
      <alignment horizontal="left" vertical="center" wrapText="1"/>
    </xf>
    <xf numFmtId="176" fontId="4" fillId="0" borderId="0" xfId="1" applyNumberFormat="1" applyFont="1" applyAlignment="1">
      <alignment horizontal="right" vertical="center"/>
    </xf>
    <xf numFmtId="0" fontId="15" fillId="0" borderId="0" xfId="1" applyFont="1">
      <alignment vertical="center"/>
    </xf>
    <xf numFmtId="176" fontId="4" fillId="0" borderId="0" xfId="1" applyNumberFormat="1" applyFont="1" applyFill="1" applyAlignment="1">
      <alignment horizontal="right" vertical="center"/>
    </xf>
    <xf numFmtId="176" fontId="10" fillId="0" borderId="0" xfId="1" applyNumberFormat="1" applyFont="1" applyFill="1" applyAlignment="1">
      <alignment horizontal="right" vertical="center"/>
    </xf>
    <xf numFmtId="176" fontId="4" fillId="0" borderId="2" xfId="1" applyNumberFormat="1" applyFont="1" applyBorder="1" applyAlignment="1">
      <alignment horizontal="right" vertical="center"/>
    </xf>
    <xf numFmtId="176" fontId="4" fillId="0" borderId="2" xfId="1" applyNumberFormat="1" applyFont="1" applyFill="1" applyBorder="1" applyAlignment="1">
      <alignment horizontal="right" vertical="center"/>
    </xf>
    <xf numFmtId="176" fontId="4" fillId="0" borderId="0" xfId="1" applyNumberFormat="1" applyFont="1" applyBorder="1">
      <alignment vertical="center"/>
    </xf>
    <xf numFmtId="176" fontId="4" fillId="0" borderId="2" xfId="1" applyNumberFormat="1" applyFont="1" applyBorder="1">
      <alignment vertical="center"/>
    </xf>
    <xf numFmtId="176" fontId="9" fillId="0" borderId="0" xfId="1" applyNumberFormat="1" applyFont="1" applyFill="1" applyAlignment="1">
      <alignment horizontal="right" vertical="center"/>
    </xf>
    <xf numFmtId="176" fontId="10" fillId="3" borderId="2" xfId="1" applyNumberFormat="1" applyFont="1" applyFill="1" applyBorder="1" applyAlignment="1">
      <alignment horizontal="right" vertical="center"/>
    </xf>
    <xf numFmtId="176" fontId="10" fillId="3" borderId="0" xfId="1" applyNumberFormat="1" applyFont="1" applyFill="1" applyAlignment="1">
      <alignment horizontal="right" vertical="center"/>
    </xf>
    <xf numFmtId="0" fontId="16" fillId="2" borderId="0" xfId="0" applyFont="1" applyFill="1" applyBorder="1" applyAlignment="1">
      <alignment horizontal="left" vertical="center" wrapText="1"/>
    </xf>
    <xf numFmtId="176" fontId="16" fillId="2" borderId="0" xfId="0" applyNumberFormat="1" applyFont="1" applyFill="1" applyBorder="1" applyAlignment="1">
      <alignment horizontal="left" vertical="center" wrapText="1"/>
    </xf>
    <xf numFmtId="0" fontId="16" fillId="2" borderId="3" xfId="0" applyFont="1" applyFill="1" applyBorder="1" applyAlignment="1">
      <alignment horizontal="left" vertical="center" wrapText="1"/>
    </xf>
    <xf numFmtId="176" fontId="16" fillId="2" borderId="3" xfId="0" applyNumberFormat="1" applyFont="1" applyFill="1" applyBorder="1" applyAlignment="1">
      <alignment horizontal="left" vertical="center" wrapText="1"/>
    </xf>
    <xf numFmtId="0" fontId="17" fillId="0" borderId="0" xfId="0" applyFont="1" applyAlignment="1">
      <alignment vertical="center"/>
    </xf>
    <xf numFmtId="0" fontId="17" fillId="0" borderId="0" xfId="0" applyFont="1" applyAlignment="1">
      <alignment horizontal="left" vertical="center"/>
    </xf>
    <xf numFmtId="0" fontId="16" fillId="2" borderId="5" xfId="0" applyFont="1" applyFill="1" applyBorder="1" applyAlignment="1">
      <alignment horizontal="left" vertical="center" wrapText="1"/>
    </xf>
    <xf numFmtId="176" fontId="16" fillId="2" borderId="5" xfId="0" applyNumberFormat="1" applyFont="1" applyFill="1" applyBorder="1" applyAlignment="1">
      <alignment horizontal="left" vertical="center" wrapText="1"/>
    </xf>
    <xf numFmtId="0" fontId="18" fillId="0" borderId="0" xfId="0" applyFont="1" applyAlignment="1">
      <alignment vertical="center"/>
    </xf>
    <xf numFmtId="0" fontId="19" fillId="2" borderId="3" xfId="0" applyFont="1" applyFill="1" applyBorder="1" applyAlignment="1">
      <alignment horizontal="left" vertical="center" wrapText="1"/>
    </xf>
    <xf numFmtId="176" fontId="19" fillId="2" borderId="3" xfId="0" applyNumberFormat="1" applyFont="1" applyFill="1" applyBorder="1" applyAlignment="1">
      <alignment horizontal="right" vertical="center" wrapText="1"/>
    </xf>
    <xf numFmtId="0" fontId="19" fillId="2" borderId="5" xfId="0" applyFont="1" applyFill="1" applyBorder="1" applyAlignment="1">
      <alignment horizontal="left" vertical="center" wrapText="1"/>
    </xf>
    <xf numFmtId="176" fontId="19" fillId="2" borderId="5" xfId="0" applyNumberFormat="1" applyFont="1" applyFill="1" applyBorder="1" applyAlignment="1">
      <alignment horizontal="right" vertical="center" wrapText="1"/>
    </xf>
    <xf numFmtId="0" fontId="18" fillId="0" borderId="0" xfId="0" applyFont="1" applyAlignment="1">
      <alignment horizontal="right" vertical="center"/>
    </xf>
    <xf numFmtId="0" fontId="19" fillId="2" borderId="3" xfId="0" applyFont="1" applyFill="1" applyBorder="1" applyAlignment="1">
      <alignment horizontal="right" vertical="center" wrapText="1"/>
    </xf>
    <xf numFmtId="0" fontId="20" fillId="0" borderId="0" xfId="0" applyFont="1" applyAlignment="1">
      <alignment vertical="center"/>
    </xf>
  </cellXfs>
  <cellStyles count="2">
    <cellStyle name="Normal" xfId="0" builtinId="0"/>
    <cellStyle name="Normal 2" xfId="1" xr:uid="{8BB5E9C3-BA4D-4D90-8138-9B6D803890E4}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1E0DF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F3F9D-83B7-415C-9F08-CC670911D2C9}">
  <dimension ref="A1:D11"/>
  <sheetViews>
    <sheetView workbookViewId="0">
      <selection activeCell="D1" sqref="A1:D1"/>
    </sheetView>
  </sheetViews>
  <sheetFormatPr defaultRowHeight="17.399999999999999" x14ac:dyDescent="0.4"/>
  <cols>
    <col min="1" max="1" width="27.3984375" bestFit="1" customWidth="1"/>
    <col min="2" max="2" width="12.19921875" bestFit="1" customWidth="1"/>
    <col min="4" max="4" width="44" bestFit="1" customWidth="1"/>
  </cols>
  <sheetData>
    <row r="1" spans="1:4" s="1" customFormat="1" x14ac:dyDescent="0.4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4">
      <c r="A2" t="s">
        <v>4</v>
      </c>
      <c r="B2" t="s">
        <v>5</v>
      </c>
      <c r="C2" t="s">
        <v>6</v>
      </c>
      <c r="D2" t="s">
        <v>7</v>
      </c>
    </row>
    <row r="3" spans="1:4" x14ac:dyDescent="0.4">
      <c r="A3" t="s">
        <v>8</v>
      </c>
      <c r="B3" t="s">
        <v>5</v>
      </c>
      <c r="C3" t="s">
        <v>9</v>
      </c>
      <c r="D3" t="s">
        <v>10</v>
      </c>
    </row>
    <row r="4" spans="1:4" x14ac:dyDescent="0.4">
      <c r="A4" t="s">
        <v>11</v>
      </c>
      <c r="B4" t="s">
        <v>5</v>
      </c>
      <c r="C4" t="s">
        <v>12</v>
      </c>
      <c r="D4" t="s">
        <v>13</v>
      </c>
    </row>
    <row r="5" spans="1:4" x14ac:dyDescent="0.4">
      <c r="A5" t="s">
        <v>14</v>
      </c>
      <c r="B5" t="s">
        <v>5</v>
      </c>
      <c r="C5" t="s">
        <v>15</v>
      </c>
      <c r="D5" t="s">
        <v>16</v>
      </c>
    </row>
    <row r="6" spans="1:4" x14ac:dyDescent="0.4">
      <c r="A6" t="s">
        <v>17</v>
      </c>
      <c r="B6" t="s">
        <v>5</v>
      </c>
      <c r="C6" t="s">
        <v>18</v>
      </c>
      <c r="D6" t="s">
        <v>19</v>
      </c>
    </row>
    <row r="7" spans="1:4" x14ac:dyDescent="0.4">
      <c r="A7" t="s">
        <v>20</v>
      </c>
      <c r="B7" t="s">
        <v>21</v>
      </c>
      <c r="C7" t="s">
        <v>22</v>
      </c>
      <c r="D7" t="s">
        <v>23</v>
      </c>
    </row>
    <row r="8" spans="1:4" x14ac:dyDescent="0.4">
      <c r="A8" t="s">
        <v>24</v>
      </c>
      <c r="B8" t="s">
        <v>21</v>
      </c>
      <c r="C8" t="s">
        <v>25</v>
      </c>
      <c r="D8" t="s">
        <v>26</v>
      </c>
    </row>
    <row r="9" spans="1:4" x14ac:dyDescent="0.4">
      <c r="A9" t="s">
        <v>27</v>
      </c>
      <c r="B9" t="s">
        <v>27</v>
      </c>
      <c r="C9" t="s">
        <v>28</v>
      </c>
      <c r="D9" t="s">
        <v>29</v>
      </c>
    </row>
    <row r="10" spans="1:4" x14ac:dyDescent="0.4">
      <c r="A10" t="s">
        <v>30</v>
      </c>
      <c r="B10" t="s">
        <v>31</v>
      </c>
      <c r="C10" t="s">
        <v>32</v>
      </c>
      <c r="D10" t="s">
        <v>33</v>
      </c>
    </row>
    <row r="11" spans="1:4" x14ac:dyDescent="0.4">
      <c r="A11" t="s">
        <v>34</v>
      </c>
      <c r="B11" t="s">
        <v>31</v>
      </c>
      <c r="C11" t="s">
        <v>35</v>
      </c>
      <c r="D11" t="s">
        <v>36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D78C9-ACAB-47AB-92A2-4E3F63F3E8AF}">
  <dimension ref="A1:A8"/>
  <sheetViews>
    <sheetView workbookViewId="0">
      <selection activeCell="A12" sqref="A12"/>
    </sheetView>
  </sheetViews>
  <sheetFormatPr defaultRowHeight="17.399999999999999" x14ac:dyDescent="0.4"/>
  <cols>
    <col min="1" max="1" width="81.8984375" bestFit="1" customWidth="1"/>
  </cols>
  <sheetData>
    <row r="1" spans="1:1" x14ac:dyDescent="0.4">
      <c r="A1" t="s">
        <v>37</v>
      </c>
    </row>
    <row r="2" spans="1:1" x14ac:dyDescent="0.4">
      <c r="A2" t="s">
        <v>38</v>
      </c>
    </row>
    <row r="3" spans="1:1" x14ac:dyDescent="0.4">
      <c r="A3" t="s">
        <v>39</v>
      </c>
    </row>
    <row r="4" spans="1:1" x14ac:dyDescent="0.4">
      <c r="A4" t="s">
        <v>40</v>
      </c>
    </row>
    <row r="5" spans="1:1" x14ac:dyDescent="0.4">
      <c r="A5" t="s">
        <v>41</v>
      </c>
    </row>
    <row r="6" spans="1:1" x14ac:dyDescent="0.4">
      <c r="A6" t="s">
        <v>42</v>
      </c>
    </row>
    <row r="7" spans="1:1" x14ac:dyDescent="0.4">
      <c r="A7" t="s">
        <v>43</v>
      </c>
    </row>
    <row r="8" spans="1:1" x14ac:dyDescent="0.4">
      <c r="A8" t="s">
        <v>44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D1AE2-1FF3-47E4-8E9B-1B62916BD97B}">
  <dimension ref="A1:C13"/>
  <sheetViews>
    <sheetView workbookViewId="0">
      <selection activeCell="A14" sqref="A14:XFD24"/>
    </sheetView>
  </sheetViews>
  <sheetFormatPr defaultRowHeight="17.399999999999999" x14ac:dyDescent="0.4"/>
  <cols>
    <col min="2" max="2" width="16.69921875" bestFit="1" customWidth="1"/>
    <col min="3" max="3" width="71.8984375" bestFit="1" customWidth="1"/>
  </cols>
  <sheetData>
    <row r="1" spans="1:3" x14ac:dyDescent="0.4">
      <c r="A1" t="s">
        <v>45</v>
      </c>
      <c r="B1" s="1" t="s">
        <v>1</v>
      </c>
      <c r="C1" s="1" t="s">
        <v>0</v>
      </c>
    </row>
    <row r="2" spans="1:3" x14ac:dyDescent="0.4">
      <c r="A2">
        <v>1</v>
      </c>
      <c r="B2" t="s">
        <v>46</v>
      </c>
      <c r="C2" t="s">
        <v>47</v>
      </c>
    </row>
    <row r="3" spans="1:3" x14ac:dyDescent="0.4">
      <c r="A3">
        <v>2</v>
      </c>
      <c r="B3" t="s">
        <v>48</v>
      </c>
      <c r="C3" t="s">
        <v>49</v>
      </c>
    </row>
    <row r="4" spans="1:3" x14ac:dyDescent="0.4">
      <c r="A4">
        <v>3</v>
      </c>
      <c r="B4" t="s">
        <v>50</v>
      </c>
      <c r="C4" t="s">
        <v>51</v>
      </c>
    </row>
    <row r="5" spans="1:3" x14ac:dyDescent="0.4">
      <c r="A5">
        <v>4</v>
      </c>
      <c r="B5" t="s">
        <v>52</v>
      </c>
      <c r="C5" t="s">
        <v>53</v>
      </c>
    </row>
    <row r="6" spans="1:3" x14ac:dyDescent="0.4">
      <c r="A6">
        <v>5</v>
      </c>
      <c r="B6" t="s">
        <v>54</v>
      </c>
      <c r="C6" t="s">
        <v>55</v>
      </c>
    </row>
    <row r="7" spans="1:3" x14ac:dyDescent="0.4">
      <c r="A7">
        <v>6</v>
      </c>
      <c r="B7" t="s">
        <v>56</v>
      </c>
      <c r="C7" t="s">
        <v>57</v>
      </c>
    </row>
    <row r="8" spans="1:3" x14ac:dyDescent="0.4">
      <c r="A8">
        <v>7</v>
      </c>
      <c r="B8" t="s">
        <v>27</v>
      </c>
      <c r="C8" t="s">
        <v>58</v>
      </c>
    </row>
    <row r="9" spans="1:3" x14ac:dyDescent="0.4">
      <c r="A9">
        <v>8</v>
      </c>
      <c r="B9" t="s">
        <v>31</v>
      </c>
      <c r="C9" t="s">
        <v>59</v>
      </c>
    </row>
    <row r="10" spans="1:3" x14ac:dyDescent="0.4">
      <c r="A10">
        <v>9</v>
      </c>
      <c r="B10" t="s">
        <v>60</v>
      </c>
      <c r="C10" t="s">
        <v>61</v>
      </c>
    </row>
    <row r="11" spans="1:3" x14ac:dyDescent="0.4">
      <c r="A11">
        <v>10</v>
      </c>
      <c r="B11" t="s">
        <v>62</v>
      </c>
      <c r="C11" t="s">
        <v>63</v>
      </c>
    </row>
    <row r="12" spans="1:3" x14ac:dyDescent="0.4">
      <c r="A12">
        <v>11</v>
      </c>
      <c r="B12" t="s">
        <v>64</v>
      </c>
      <c r="C12" t="s">
        <v>65</v>
      </c>
    </row>
    <row r="13" spans="1:3" x14ac:dyDescent="0.4">
      <c r="A13">
        <v>12</v>
      </c>
      <c r="B13" t="s">
        <v>66</v>
      </c>
      <c r="C13" t="s">
        <v>67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998B0-FB4D-4473-B58E-944F9A0C2E94}">
  <dimension ref="B1:U37"/>
  <sheetViews>
    <sheetView zoomScaleNormal="100" workbookViewId="0">
      <selection activeCell="B6" sqref="B6"/>
    </sheetView>
  </sheetViews>
  <sheetFormatPr defaultRowHeight="13.8" x14ac:dyDescent="0.4"/>
  <cols>
    <col min="1" max="1" width="8.796875" style="2"/>
    <col min="2" max="2" width="7.5" style="12" customWidth="1"/>
    <col min="3" max="3" width="7.8984375" style="13" customWidth="1"/>
    <col min="4" max="4" width="7.09765625" style="13" bestFit="1" customWidth="1"/>
    <col min="5" max="5" width="7.8984375" style="13" bestFit="1" customWidth="1"/>
    <col min="6" max="6" width="7.59765625" style="13" bestFit="1" customWidth="1"/>
    <col min="7" max="8" width="7.09765625" style="13" bestFit="1" customWidth="1"/>
    <col min="9" max="9" width="7.8984375" style="13" bestFit="1" customWidth="1"/>
    <col min="10" max="10" width="7.59765625" style="13" bestFit="1" customWidth="1"/>
    <col min="11" max="11" width="8.796875" style="2"/>
    <col min="12" max="12" width="9.69921875" style="2" bestFit="1" customWidth="1"/>
    <col min="13" max="13" width="9.09765625" style="2" bestFit="1" customWidth="1"/>
    <col min="14" max="14" width="10" style="2" bestFit="1" customWidth="1"/>
    <col min="15" max="17" width="9.09765625" style="2" bestFit="1" customWidth="1"/>
    <col min="18" max="18" width="10" style="2" bestFit="1" customWidth="1"/>
    <col min="19" max="19" width="9.09765625" style="2" bestFit="1" customWidth="1"/>
    <col min="20" max="20" width="30.59765625" style="2" bestFit="1" customWidth="1"/>
    <col min="21" max="16384" width="8.796875" style="2"/>
  </cols>
  <sheetData>
    <row r="1" spans="2:21" x14ac:dyDescent="0.4">
      <c r="B1" s="24" t="s">
        <v>107</v>
      </c>
    </row>
    <row r="2" spans="2:21" ht="18.45" customHeight="1" x14ac:dyDescent="0.4">
      <c r="B2" s="5"/>
      <c r="C2" s="6"/>
      <c r="D2" s="6"/>
      <c r="E2" s="15" t="s">
        <v>76</v>
      </c>
      <c r="F2" s="15"/>
      <c r="G2" s="14" t="s">
        <v>75</v>
      </c>
      <c r="H2" s="14"/>
      <c r="I2" s="14"/>
      <c r="J2" s="14"/>
      <c r="L2" s="2" t="s">
        <v>77</v>
      </c>
      <c r="M2" s="2" t="s">
        <v>78</v>
      </c>
      <c r="N2" s="2" t="s">
        <v>79</v>
      </c>
      <c r="O2" s="2" t="s">
        <v>80</v>
      </c>
      <c r="P2" s="2" t="s">
        <v>81</v>
      </c>
      <c r="Q2" s="2" t="s">
        <v>82</v>
      </c>
      <c r="R2" s="2" t="s">
        <v>83</v>
      </c>
      <c r="S2" s="2" t="s">
        <v>84</v>
      </c>
      <c r="T2" s="2" t="s">
        <v>85</v>
      </c>
      <c r="U2" s="2" t="s">
        <v>86</v>
      </c>
    </row>
    <row r="3" spans="2:21" s="3" customFormat="1" ht="18.45" customHeight="1" x14ac:dyDescent="0.4">
      <c r="B3" s="7"/>
      <c r="C3" s="7" t="s">
        <v>74</v>
      </c>
      <c r="D3" s="7" t="s">
        <v>73</v>
      </c>
      <c r="E3" s="7" t="s">
        <v>72</v>
      </c>
      <c r="F3" s="7" t="s">
        <v>71</v>
      </c>
      <c r="G3" s="7" t="s">
        <v>90</v>
      </c>
      <c r="H3" s="7" t="s">
        <v>71</v>
      </c>
      <c r="I3" s="7" t="s">
        <v>91</v>
      </c>
      <c r="J3" s="7" t="s">
        <v>71</v>
      </c>
      <c r="L3" s="23">
        <v>1.2397E-3</v>
      </c>
      <c r="M3" s="23">
        <v>1.1010880000000001</v>
      </c>
      <c r="N3" s="23">
        <v>0.50139710000000004</v>
      </c>
      <c r="O3" s="25">
        <v>0.60587270000000004</v>
      </c>
      <c r="P3" s="25">
        <v>0.74387619999999999</v>
      </c>
      <c r="Q3" s="25">
        <v>0.38867859999999999</v>
      </c>
      <c r="R3" s="25">
        <v>0.25900020000000001</v>
      </c>
      <c r="S3" s="25">
        <v>0.61094700000000002</v>
      </c>
      <c r="T3" s="3" t="s">
        <v>104</v>
      </c>
      <c r="U3" s="3" t="s">
        <v>87</v>
      </c>
    </row>
    <row r="4" spans="2:21" ht="18.45" customHeight="1" x14ac:dyDescent="0.4">
      <c r="B4" s="8"/>
      <c r="C4" s="14" t="s">
        <v>102</v>
      </c>
      <c r="D4" s="14"/>
      <c r="E4" s="14"/>
      <c r="F4" s="14"/>
      <c r="G4" s="14"/>
      <c r="H4" s="14"/>
      <c r="I4" s="14"/>
      <c r="J4" s="14"/>
      <c r="L4" s="23">
        <v>7.7360000000000005E-4</v>
      </c>
      <c r="M4" s="23">
        <v>1.5768249999999999</v>
      </c>
      <c r="N4" s="23">
        <v>2.1667545000000001</v>
      </c>
      <c r="O4" s="25">
        <v>0.1152156</v>
      </c>
      <c r="P4" s="25">
        <v>0.18268860000000001</v>
      </c>
      <c r="Q4" s="25">
        <v>0.66918699999999998</v>
      </c>
      <c r="R4" s="25">
        <v>4.1550285999999996</v>
      </c>
      <c r="S4" s="25">
        <v>4.1836600000000002E-2</v>
      </c>
      <c r="T4" s="2" t="s">
        <v>105</v>
      </c>
      <c r="U4" s="2" t="s">
        <v>87</v>
      </c>
    </row>
    <row r="5" spans="2:21" ht="18.45" customHeight="1" x14ac:dyDescent="0.4">
      <c r="B5" s="5" t="s">
        <v>70</v>
      </c>
      <c r="C5" s="9">
        <f>L3</f>
        <v>1.2397E-3</v>
      </c>
      <c r="D5" s="9">
        <f t="shared" ref="D5:J5" si="0">M3</f>
        <v>1.1010880000000001</v>
      </c>
      <c r="E5" s="9">
        <f t="shared" si="0"/>
        <v>0.50139710000000004</v>
      </c>
      <c r="F5" s="9">
        <f t="shared" si="0"/>
        <v>0.60587270000000004</v>
      </c>
      <c r="G5" s="9">
        <f t="shared" si="0"/>
        <v>0.74387619999999999</v>
      </c>
      <c r="H5" s="9">
        <f t="shared" si="0"/>
        <v>0.38867859999999999</v>
      </c>
      <c r="I5" s="9">
        <f t="shared" si="0"/>
        <v>0.25900020000000001</v>
      </c>
      <c r="J5" s="9">
        <f t="shared" si="0"/>
        <v>0.61094700000000002</v>
      </c>
      <c r="L5" s="27">
        <v>2.0132000000000001E-3</v>
      </c>
      <c r="M5" s="27">
        <v>2.6779130000000002</v>
      </c>
      <c r="N5" s="27">
        <v>6.1534284000000001</v>
      </c>
      <c r="O5" s="28">
        <v>2.2274E-3</v>
      </c>
      <c r="P5" s="28">
        <v>0.4202243</v>
      </c>
      <c r="Q5" s="28">
        <v>0.51700979999999996</v>
      </c>
      <c r="R5" s="28">
        <v>11.8951783</v>
      </c>
      <c r="S5" s="28">
        <v>5.9199999999999997E-4</v>
      </c>
      <c r="T5" s="2" t="s">
        <v>106</v>
      </c>
      <c r="U5" s="2" t="s">
        <v>87</v>
      </c>
    </row>
    <row r="6" spans="2:21" ht="18.45" customHeight="1" x14ac:dyDescent="0.4">
      <c r="B6" s="5" t="s">
        <v>69</v>
      </c>
      <c r="C6" s="9">
        <f>L4</f>
        <v>7.7360000000000005E-4</v>
      </c>
      <c r="D6" s="9">
        <f t="shared" ref="D6:J6" si="1">M4</f>
        <v>1.5768249999999999</v>
      </c>
      <c r="E6" s="9">
        <f t="shared" si="1"/>
        <v>2.1667545000000001</v>
      </c>
      <c r="F6" s="26">
        <f t="shared" si="1"/>
        <v>0.1152156</v>
      </c>
      <c r="G6" s="9">
        <f t="shared" si="1"/>
        <v>0.18268860000000001</v>
      </c>
      <c r="H6" s="9">
        <f t="shared" si="1"/>
        <v>0.66918699999999998</v>
      </c>
      <c r="I6" s="9">
        <f t="shared" si="1"/>
        <v>4.1550285999999996</v>
      </c>
      <c r="J6" s="33">
        <f t="shared" si="1"/>
        <v>4.1836600000000002E-2</v>
      </c>
      <c r="L6" s="23">
        <v>-6.5410000000000002E-4</v>
      </c>
      <c r="M6" s="23">
        <v>0.22803570000000001</v>
      </c>
      <c r="N6" s="23">
        <v>1.5125527999999999</v>
      </c>
      <c r="O6" s="25">
        <v>0.22164639999999999</v>
      </c>
      <c r="P6" s="25">
        <v>9.8517099999999996E-2</v>
      </c>
      <c r="Q6" s="25">
        <v>0.75378559999999994</v>
      </c>
      <c r="R6" s="25">
        <v>2.9334041000000002</v>
      </c>
      <c r="S6" s="25">
        <v>8.7563299999999997E-2</v>
      </c>
      <c r="T6" s="2" t="s">
        <v>104</v>
      </c>
      <c r="U6" s="2" t="s">
        <v>88</v>
      </c>
    </row>
    <row r="7" spans="2:21" ht="18.45" customHeight="1" x14ac:dyDescent="0.4">
      <c r="B7" s="8" t="s">
        <v>68</v>
      </c>
      <c r="C7" s="10">
        <f>L5</f>
        <v>2.0132000000000001E-3</v>
      </c>
      <c r="D7" s="10">
        <f t="shared" ref="D7:J7" si="2">M5</f>
        <v>2.6779130000000002</v>
      </c>
      <c r="E7" s="10">
        <f t="shared" si="2"/>
        <v>6.1534284000000001</v>
      </c>
      <c r="F7" s="32">
        <f t="shared" si="2"/>
        <v>2.2274E-3</v>
      </c>
      <c r="G7" s="10">
        <f t="shared" si="2"/>
        <v>0.4202243</v>
      </c>
      <c r="H7" s="10">
        <f t="shared" si="2"/>
        <v>0.51700979999999996</v>
      </c>
      <c r="I7" s="10">
        <f t="shared" si="2"/>
        <v>11.8951783</v>
      </c>
      <c r="J7" s="32">
        <f t="shared" si="2"/>
        <v>5.9199999999999997E-4</v>
      </c>
      <c r="L7" s="23">
        <v>-2.5956E-3</v>
      </c>
      <c r="M7" s="23">
        <v>0.66573610000000005</v>
      </c>
      <c r="N7" s="23">
        <v>0.73471850000000005</v>
      </c>
      <c r="O7" s="25">
        <v>0.48030820000000002</v>
      </c>
      <c r="P7" s="25">
        <v>0.98308499999999999</v>
      </c>
      <c r="Q7" s="25">
        <v>0.32205790000000001</v>
      </c>
      <c r="R7" s="25">
        <v>0.48637330000000001</v>
      </c>
      <c r="S7" s="25">
        <v>0.48596729999999999</v>
      </c>
      <c r="T7" s="2" t="s">
        <v>105</v>
      </c>
      <c r="U7" s="2" t="s">
        <v>88</v>
      </c>
    </row>
    <row r="8" spans="2:21" ht="9.6" customHeight="1" x14ac:dyDescent="0.4">
      <c r="B8" s="5"/>
      <c r="C8" s="11"/>
      <c r="D8" s="11"/>
      <c r="E8" s="11"/>
      <c r="F8" s="11"/>
      <c r="G8" s="11"/>
      <c r="H8" s="11"/>
      <c r="I8" s="11"/>
      <c r="J8" s="11"/>
      <c r="L8" s="27">
        <v>-3.2496999999999999E-3</v>
      </c>
      <c r="M8" s="27">
        <v>0.89377180000000001</v>
      </c>
      <c r="N8" s="27">
        <v>0.27973389999999998</v>
      </c>
      <c r="O8" s="28">
        <v>0.75613759999999997</v>
      </c>
      <c r="P8" s="28">
        <v>0.52158179999999998</v>
      </c>
      <c r="Q8" s="28">
        <v>0.47060390000000002</v>
      </c>
      <c r="R8" s="28">
        <v>3.79327E-2</v>
      </c>
      <c r="S8" s="28">
        <v>0.84568030000000005</v>
      </c>
      <c r="T8" s="2" t="s">
        <v>106</v>
      </c>
      <c r="U8" s="2" t="s">
        <v>88</v>
      </c>
    </row>
    <row r="9" spans="2:21" ht="18.45" customHeight="1" x14ac:dyDescent="0.4">
      <c r="B9" s="8"/>
      <c r="C9" s="14" t="s">
        <v>109</v>
      </c>
      <c r="D9" s="14"/>
      <c r="E9" s="14"/>
      <c r="F9" s="14"/>
      <c r="G9" s="14"/>
      <c r="H9" s="14"/>
      <c r="I9" s="14"/>
      <c r="J9" s="14"/>
      <c r="L9" s="23">
        <v>3.3286000000000001E-3</v>
      </c>
      <c r="M9" s="23">
        <v>1.3813138</v>
      </c>
      <c r="N9" s="23">
        <v>2.6443911999999998</v>
      </c>
      <c r="O9" s="25">
        <v>7.2242799999999996E-2</v>
      </c>
      <c r="P9" s="25">
        <v>2.8519540000000001</v>
      </c>
      <c r="Q9" s="25">
        <v>9.2012300000000005E-2</v>
      </c>
      <c r="R9" s="25">
        <v>2.4260538</v>
      </c>
      <c r="S9" s="25">
        <v>0.12009160000000001</v>
      </c>
      <c r="T9" s="2" t="s">
        <v>104</v>
      </c>
      <c r="U9" s="2" t="s">
        <v>89</v>
      </c>
    </row>
    <row r="10" spans="2:21" ht="18.45" customHeight="1" x14ac:dyDescent="0.4">
      <c r="B10" s="5" t="s">
        <v>70</v>
      </c>
      <c r="C10" s="9">
        <f>L6</f>
        <v>-6.5410000000000002E-4</v>
      </c>
      <c r="D10" s="9">
        <f t="shared" ref="D10:J10" si="3">M6</f>
        <v>0.22803570000000001</v>
      </c>
      <c r="E10" s="9">
        <f t="shared" si="3"/>
        <v>1.5125527999999999</v>
      </c>
      <c r="F10" s="9">
        <f t="shared" si="3"/>
        <v>0.22164639999999999</v>
      </c>
      <c r="G10" s="9">
        <f t="shared" si="3"/>
        <v>9.8517099999999996E-2</v>
      </c>
      <c r="H10" s="9">
        <f t="shared" si="3"/>
        <v>0.75378559999999994</v>
      </c>
      <c r="I10" s="9">
        <f t="shared" si="3"/>
        <v>2.9334041000000002</v>
      </c>
      <c r="J10" s="9">
        <f t="shared" si="3"/>
        <v>8.7563299999999997E-2</v>
      </c>
      <c r="L10" s="23">
        <v>4.2459999999999998E-3</v>
      </c>
      <c r="M10" s="23">
        <v>1.8752196000000001</v>
      </c>
      <c r="N10" s="23">
        <v>5.2355242999999998</v>
      </c>
      <c r="O10" s="25">
        <v>5.6804999999999998E-3</v>
      </c>
      <c r="P10" s="25">
        <v>2.8939208999999999</v>
      </c>
      <c r="Q10" s="25">
        <v>8.9661599999999994E-2</v>
      </c>
      <c r="R10" s="25">
        <v>7.5428696999999998</v>
      </c>
      <c r="S10" s="25">
        <v>6.2857E-3</v>
      </c>
      <c r="T10" s="2" t="s">
        <v>105</v>
      </c>
      <c r="U10" s="2" t="s">
        <v>89</v>
      </c>
    </row>
    <row r="11" spans="2:21" ht="18.45" customHeight="1" x14ac:dyDescent="0.4">
      <c r="B11" s="5" t="s">
        <v>69</v>
      </c>
      <c r="C11" s="9">
        <f>L7</f>
        <v>-2.5956E-3</v>
      </c>
      <c r="D11" s="9">
        <f t="shared" ref="D11:J11" si="4">M7</f>
        <v>0.66573610000000005</v>
      </c>
      <c r="E11" s="9">
        <f t="shared" si="4"/>
        <v>0.73471850000000005</v>
      </c>
      <c r="F11" s="9">
        <f t="shared" si="4"/>
        <v>0.48030820000000002</v>
      </c>
      <c r="G11" s="9">
        <f t="shared" si="4"/>
        <v>0.98308499999999999</v>
      </c>
      <c r="H11" s="9">
        <f t="shared" si="4"/>
        <v>0.32205790000000001</v>
      </c>
      <c r="I11" s="9">
        <f t="shared" si="4"/>
        <v>0.48637330000000001</v>
      </c>
      <c r="J11" s="9">
        <f t="shared" si="4"/>
        <v>0.48596729999999999</v>
      </c>
      <c r="L11" s="27">
        <v>7.5745999999999999E-3</v>
      </c>
      <c r="M11" s="27">
        <v>3.2565335000000002</v>
      </c>
      <c r="N11" s="27">
        <v>10.0053485</v>
      </c>
      <c r="O11" s="28">
        <v>5.7000000000000003E-5</v>
      </c>
      <c r="P11" s="28">
        <v>3.1503277999999999</v>
      </c>
      <c r="Q11" s="28">
        <v>7.66429E-2</v>
      </c>
      <c r="R11" s="28">
        <v>16.7738719</v>
      </c>
      <c r="S11" s="28">
        <v>5.0599999999999997E-5</v>
      </c>
      <c r="T11" s="2" t="s">
        <v>106</v>
      </c>
      <c r="U11" s="2" t="s">
        <v>89</v>
      </c>
    </row>
    <row r="12" spans="2:21" ht="18.45" customHeight="1" x14ac:dyDescent="0.4">
      <c r="B12" s="8" t="s">
        <v>68</v>
      </c>
      <c r="C12" s="10">
        <f>L8</f>
        <v>-3.2496999999999999E-3</v>
      </c>
      <c r="D12" s="10">
        <f t="shared" ref="D12:J12" si="5">M8</f>
        <v>0.89377180000000001</v>
      </c>
      <c r="E12" s="10">
        <f t="shared" si="5"/>
        <v>0.27973389999999998</v>
      </c>
      <c r="F12" s="10">
        <f t="shared" si="5"/>
        <v>0.75613759999999997</v>
      </c>
      <c r="G12" s="10">
        <f t="shared" si="5"/>
        <v>0.52158179999999998</v>
      </c>
      <c r="H12" s="10">
        <f t="shared" si="5"/>
        <v>0.47060390000000002</v>
      </c>
      <c r="I12" s="10">
        <f t="shared" si="5"/>
        <v>3.79327E-2</v>
      </c>
      <c r="J12" s="10">
        <f t="shared" si="5"/>
        <v>0.84568030000000005</v>
      </c>
    </row>
    <row r="13" spans="2:21" ht="8.4" customHeight="1" x14ac:dyDescent="0.4">
      <c r="B13" s="5"/>
      <c r="C13" s="11"/>
      <c r="D13" s="11"/>
      <c r="E13" s="11"/>
      <c r="F13" s="11"/>
      <c r="G13" s="11"/>
      <c r="H13" s="11"/>
      <c r="I13" s="11"/>
      <c r="J13" s="11"/>
    </row>
    <row r="14" spans="2:21" ht="18.45" customHeight="1" x14ac:dyDescent="0.4">
      <c r="B14" s="8"/>
      <c r="C14" s="14" t="s">
        <v>103</v>
      </c>
      <c r="D14" s="14"/>
      <c r="E14" s="14"/>
      <c r="F14" s="14"/>
      <c r="G14" s="14"/>
      <c r="H14" s="14"/>
      <c r="I14" s="14"/>
      <c r="J14" s="14"/>
    </row>
    <row r="15" spans="2:21" ht="18.45" customHeight="1" x14ac:dyDescent="0.4">
      <c r="B15" s="5" t="s">
        <v>70</v>
      </c>
      <c r="C15" s="9">
        <f>L9</f>
        <v>3.3286000000000001E-3</v>
      </c>
      <c r="D15" s="9">
        <f t="shared" ref="D15:J15" si="6">M9</f>
        <v>1.3813138</v>
      </c>
      <c r="E15" s="9">
        <f t="shared" si="6"/>
        <v>2.6443911999999998</v>
      </c>
      <c r="F15" s="31">
        <f t="shared" si="6"/>
        <v>7.2242799999999996E-2</v>
      </c>
      <c r="G15" s="31">
        <f t="shared" si="6"/>
        <v>2.8519540000000001</v>
      </c>
      <c r="H15" s="31">
        <f t="shared" si="6"/>
        <v>9.2012300000000005E-2</v>
      </c>
      <c r="I15" s="31">
        <f t="shared" si="6"/>
        <v>2.4260538</v>
      </c>
      <c r="J15" s="31">
        <f t="shared" si="6"/>
        <v>0.12009160000000001</v>
      </c>
    </row>
    <row r="16" spans="2:21" ht="18.45" customHeight="1" x14ac:dyDescent="0.35">
      <c r="B16" s="5" t="s">
        <v>69</v>
      </c>
      <c r="C16" s="9">
        <f>L10</f>
        <v>4.2459999999999998E-3</v>
      </c>
      <c r="D16" s="9">
        <f t="shared" ref="D16:J16" si="7">M10</f>
        <v>1.8752196000000001</v>
      </c>
      <c r="E16" s="9">
        <f t="shared" si="7"/>
        <v>5.2355242999999998</v>
      </c>
      <c r="F16" s="33">
        <f t="shared" si="7"/>
        <v>5.6804999999999998E-3</v>
      </c>
      <c r="G16" s="9">
        <f t="shared" si="7"/>
        <v>2.8939208999999999</v>
      </c>
      <c r="H16" s="9">
        <f t="shared" si="7"/>
        <v>8.9661599999999994E-2</v>
      </c>
      <c r="I16" s="9">
        <f t="shared" si="7"/>
        <v>7.5428696999999998</v>
      </c>
      <c r="J16" s="33">
        <f t="shared" si="7"/>
        <v>6.2857E-3</v>
      </c>
      <c r="M16" s="4"/>
    </row>
    <row r="17" spans="2:21" ht="18.45" customHeight="1" x14ac:dyDescent="0.4">
      <c r="B17" s="8" t="s">
        <v>68</v>
      </c>
      <c r="C17" s="10">
        <f>L11</f>
        <v>7.5745999999999999E-3</v>
      </c>
      <c r="D17" s="10">
        <f t="shared" ref="D17:J17" si="8">M11</f>
        <v>3.2565335000000002</v>
      </c>
      <c r="E17" s="10">
        <f t="shared" si="8"/>
        <v>10.0053485</v>
      </c>
      <c r="F17" s="32">
        <f t="shared" si="8"/>
        <v>5.7000000000000003E-5</v>
      </c>
      <c r="G17" s="10">
        <f t="shared" si="8"/>
        <v>3.1503277999999999</v>
      </c>
      <c r="H17" s="10">
        <f t="shared" si="8"/>
        <v>7.66429E-2</v>
      </c>
      <c r="I17" s="10">
        <f t="shared" si="8"/>
        <v>16.7738719</v>
      </c>
      <c r="J17" s="32">
        <f t="shared" si="8"/>
        <v>5.0599999999999997E-5</v>
      </c>
    </row>
    <row r="18" spans="2:21" ht="18.45" customHeight="1" x14ac:dyDescent="0.4"/>
    <row r="19" spans="2:21" ht="18.45" customHeight="1" x14ac:dyDescent="0.4">
      <c r="B19" s="24" t="s">
        <v>108</v>
      </c>
    </row>
    <row r="20" spans="2:21" ht="18.45" customHeight="1" x14ac:dyDescent="0.4">
      <c r="B20" s="5"/>
      <c r="C20" s="6"/>
      <c r="D20" s="6"/>
      <c r="E20" s="15" t="s">
        <v>76</v>
      </c>
      <c r="F20" s="15"/>
      <c r="G20" s="14" t="s">
        <v>75</v>
      </c>
      <c r="H20" s="14"/>
      <c r="I20" s="14"/>
      <c r="J20" s="14"/>
    </row>
    <row r="21" spans="2:21" ht="18.45" customHeight="1" x14ac:dyDescent="0.4">
      <c r="B21" s="7"/>
      <c r="C21" s="7" t="s">
        <v>74</v>
      </c>
      <c r="D21" s="7" t="s">
        <v>73</v>
      </c>
      <c r="E21" s="7" t="s">
        <v>72</v>
      </c>
      <c r="F21" s="7" t="s">
        <v>71</v>
      </c>
      <c r="G21" s="7" t="s">
        <v>90</v>
      </c>
      <c r="H21" s="7" t="s">
        <v>71</v>
      </c>
      <c r="I21" s="7" t="s">
        <v>91</v>
      </c>
      <c r="J21" s="7" t="s">
        <v>71</v>
      </c>
    </row>
    <row r="22" spans="2:21" ht="18.45" customHeight="1" x14ac:dyDescent="0.4">
      <c r="B22" s="8"/>
      <c r="C22" s="14" t="s">
        <v>102</v>
      </c>
      <c r="D22" s="14"/>
      <c r="E22" s="14"/>
      <c r="F22" s="14"/>
      <c r="G22" s="14"/>
      <c r="H22" s="14"/>
      <c r="I22" s="14"/>
      <c r="J22" s="14"/>
      <c r="L22" s="2" t="s">
        <v>77</v>
      </c>
      <c r="M22" s="2" t="s">
        <v>78</v>
      </c>
      <c r="N22" s="2" t="s">
        <v>79</v>
      </c>
      <c r="O22" s="2" t="s">
        <v>80</v>
      </c>
      <c r="P22" s="2" t="s">
        <v>81</v>
      </c>
      <c r="Q22" s="2" t="s">
        <v>82</v>
      </c>
      <c r="R22" s="2" t="s">
        <v>83</v>
      </c>
      <c r="S22" s="2" t="s">
        <v>84</v>
      </c>
      <c r="T22" s="2" t="s">
        <v>85</v>
      </c>
      <c r="U22" s="2" t="s">
        <v>86</v>
      </c>
    </row>
    <row r="23" spans="2:21" ht="18.45" customHeight="1" x14ac:dyDescent="0.4">
      <c r="B23" s="5" t="s">
        <v>70</v>
      </c>
      <c r="C23" s="9">
        <f>L23</f>
        <v>1.2397E-3</v>
      </c>
      <c r="D23" s="9">
        <f t="shared" ref="D23:J25" si="9">M23</f>
        <v>1.1010880000000001</v>
      </c>
      <c r="E23" s="9">
        <f t="shared" si="9"/>
        <v>0.50356529999999999</v>
      </c>
      <c r="F23" s="9">
        <f t="shared" si="9"/>
        <v>0.60456209999999999</v>
      </c>
      <c r="G23" s="9">
        <f t="shared" si="9"/>
        <v>0.66303509999999999</v>
      </c>
      <c r="H23" s="9">
        <f t="shared" si="9"/>
        <v>0.41573100000000002</v>
      </c>
      <c r="I23" s="9">
        <f t="shared" si="9"/>
        <v>7.7998399999999996E-2</v>
      </c>
      <c r="J23" s="9">
        <f t="shared" si="9"/>
        <v>0.78010000000000002</v>
      </c>
      <c r="L23" s="29">
        <v>1.2397E-3</v>
      </c>
      <c r="M23" s="29">
        <v>1.1010880000000001</v>
      </c>
      <c r="N23" s="29">
        <v>0.50356529999999999</v>
      </c>
      <c r="O23" s="29">
        <v>0.60456209999999999</v>
      </c>
      <c r="P23" s="29">
        <v>0.66303509999999999</v>
      </c>
      <c r="Q23" s="29">
        <v>0.41573100000000002</v>
      </c>
      <c r="R23" s="29">
        <v>7.7998399999999996E-2</v>
      </c>
      <c r="S23" s="29">
        <v>0.78010000000000002</v>
      </c>
      <c r="T23" s="2" t="s">
        <v>104</v>
      </c>
      <c r="U23" s="2" t="s">
        <v>87</v>
      </c>
    </row>
    <row r="24" spans="2:21" ht="18.45" customHeight="1" x14ac:dyDescent="0.4">
      <c r="B24" s="5" t="s">
        <v>69</v>
      </c>
      <c r="C24" s="9">
        <f>L24</f>
        <v>7.7360000000000005E-4</v>
      </c>
      <c r="D24" s="9">
        <f t="shared" si="9"/>
        <v>1.5768249999999999</v>
      </c>
      <c r="E24" s="9">
        <f t="shared" si="9"/>
        <v>1.0638371</v>
      </c>
      <c r="F24" s="9">
        <f t="shared" si="9"/>
        <v>0.34561310000000001</v>
      </c>
      <c r="G24" s="9">
        <f t="shared" si="9"/>
        <v>0.16612950000000001</v>
      </c>
      <c r="H24" s="9">
        <f t="shared" si="9"/>
        <v>0.68368309999999999</v>
      </c>
      <c r="I24" s="9">
        <f t="shared" si="9"/>
        <v>1.4723147000000001</v>
      </c>
      <c r="J24" s="9">
        <f t="shared" si="9"/>
        <v>0.22533590000000001</v>
      </c>
      <c r="L24" s="29">
        <v>7.7360000000000005E-4</v>
      </c>
      <c r="M24" s="29">
        <v>1.5768249999999999</v>
      </c>
      <c r="N24" s="29">
        <v>1.0638371</v>
      </c>
      <c r="O24" s="29">
        <v>0.34561310000000001</v>
      </c>
      <c r="P24" s="29">
        <v>0.16612950000000001</v>
      </c>
      <c r="Q24" s="29">
        <v>0.68368309999999999</v>
      </c>
      <c r="R24" s="29">
        <v>1.4723147000000001</v>
      </c>
      <c r="S24" s="29">
        <v>0.22533590000000001</v>
      </c>
      <c r="T24" s="2" t="s">
        <v>105</v>
      </c>
      <c r="U24" s="2" t="s">
        <v>87</v>
      </c>
    </row>
    <row r="25" spans="2:21" ht="18.45" customHeight="1" x14ac:dyDescent="0.4">
      <c r="B25" s="8" t="s">
        <v>68</v>
      </c>
      <c r="C25" s="10">
        <f>L25</f>
        <v>2.0132000000000001E-3</v>
      </c>
      <c r="D25" s="10">
        <f t="shared" si="9"/>
        <v>2.6779130000000002</v>
      </c>
      <c r="E25" s="10">
        <f t="shared" si="9"/>
        <v>2.7237944000000001</v>
      </c>
      <c r="F25" s="32">
        <f t="shared" si="9"/>
        <v>6.6229399999999994E-2</v>
      </c>
      <c r="G25" s="10">
        <f t="shared" si="9"/>
        <v>0.37539650000000002</v>
      </c>
      <c r="H25" s="10">
        <f t="shared" si="9"/>
        <v>0.54025009999999996</v>
      </c>
      <c r="I25" s="10">
        <f t="shared" si="9"/>
        <v>3.6880940999999998</v>
      </c>
      <c r="J25" s="32">
        <f t="shared" si="9"/>
        <v>5.5154300000000003E-2</v>
      </c>
      <c r="L25" s="30">
        <v>2.0132000000000001E-3</v>
      </c>
      <c r="M25" s="30">
        <v>2.6779130000000002</v>
      </c>
      <c r="N25" s="30">
        <v>2.7237944000000001</v>
      </c>
      <c r="O25" s="30">
        <v>6.6229399999999994E-2</v>
      </c>
      <c r="P25" s="30">
        <v>0.37539650000000002</v>
      </c>
      <c r="Q25" s="30">
        <v>0.54025009999999996</v>
      </c>
      <c r="R25" s="30">
        <v>3.6880940999999998</v>
      </c>
      <c r="S25" s="30">
        <v>5.5154300000000003E-2</v>
      </c>
      <c r="T25" s="2" t="s">
        <v>106</v>
      </c>
      <c r="U25" s="2" t="s">
        <v>87</v>
      </c>
    </row>
    <row r="26" spans="2:21" ht="9.6" customHeight="1" x14ac:dyDescent="0.4">
      <c r="B26" s="5"/>
      <c r="C26" s="11"/>
      <c r="D26" s="11"/>
      <c r="E26" s="11"/>
      <c r="F26" s="11"/>
      <c r="G26" s="11"/>
      <c r="H26" s="11"/>
      <c r="I26" s="11"/>
      <c r="J26" s="11"/>
      <c r="L26" s="29">
        <v>-6.5410000000000002E-4</v>
      </c>
      <c r="M26" s="29">
        <v>0.22803570000000001</v>
      </c>
      <c r="N26" s="29">
        <v>1.4026097</v>
      </c>
      <c r="O26" s="29">
        <v>0.2472017</v>
      </c>
      <c r="P26" s="29">
        <v>9.4740099999999994E-2</v>
      </c>
      <c r="Q26" s="29">
        <v>0.75840110000000005</v>
      </c>
      <c r="R26" s="29">
        <v>2.54793</v>
      </c>
      <c r="S26" s="29">
        <v>0.111253</v>
      </c>
      <c r="T26" s="2" t="s">
        <v>104</v>
      </c>
      <c r="U26" s="2" t="s">
        <v>88</v>
      </c>
    </row>
    <row r="27" spans="2:21" ht="18.45" customHeight="1" x14ac:dyDescent="0.4">
      <c r="B27" s="8"/>
      <c r="C27" s="14" t="s">
        <v>109</v>
      </c>
      <c r="D27" s="14"/>
      <c r="E27" s="14"/>
      <c r="F27" s="14"/>
      <c r="G27" s="14"/>
      <c r="H27" s="14"/>
      <c r="I27" s="14"/>
      <c r="J27" s="14"/>
      <c r="L27" s="29">
        <v>-2.5956E-3</v>
      </c>
      <c r="M27" s="29">
        <v>0.66573610000000005</v>
      </c>
      <c r="N27" s="29">
        <v>0.77124159999999997</v>
      </c>
      <c r="O27" s="29">
        <v>0.463148</v>
      </c>
      <c r="P27" s="29">
        <v>0.93835020000000002</v>
      </c>
      <c r="Q27" s="29">
        <v>0.33330749999999998</v>
      </c>
      <c r="R27" s="29">
        <v>0.4033175</v>
      </c>
      <c r="S27" s="29">
        <v>0.52575519999999998</v>
      </c>
      <c r="T27" s="2" t="s">
        <v>105</v>
      </c>
      <c r="U27" s="2" t="s">
        <v>88</v>
      </c>
    </row>
    <row r="28" spans="2:21" ht="18.45" customHeight="1" x14ac:dyDescent="0.4">
      <c r="B28" s="5" t="s">
        <v>70</v>
      </c>
      <c r="C28" s="9">
        <f>L26</f>
        <v>-6.5410000000000002E-4</v>
      </c>
      <c r="D28" s="9">
        <f t="shared" ref="D28:J28" si="10">M26</f>
        <v>0.22803570000000001</v>
      </c>
      <c r="E28" s="9">
        <f t="shared" si="10"/>
        <v>1.4026097</v>
      </c>
      <c r="F28" s="9">
        <f t="shared" si="10"/>
        <v>0.2472017</v>
      </c>
      <c r="G28" s="9">
        <f t="shared" si="10"/>
        <v>9.4740099999999994E-2</v>
      </c>
      <c r="H28" s="9">
        <f t="shared" si="10"/>
        <v>0.75840110000000005</v>
      </c>
      <c r="I28" s="9">
        <f t="shared" si="10"/>
        <v>2.54793</v>
      </c>
      <c r="J28" s="9">
        <f t="shared" si="10"/>
        <v>0.111253</v>
      </c>
      <c r="L28" s="30">
        <v>-3.2496999999999999E-3</v>
      </c>
      <c r="M28" s="30">
        <v>0.89377180000000001</v>
      </c>
      <c r="N28" s="30">
        <v>0.28869800000000001</v>
      </c>
      <c r="O28" s="30">
        <v>0.74939960000000005</v>
      </c>
      <c r="P28" s="30">
        <v>0.49874400000000002</v>
      </c>
      <c r="Q28" s="30">
        <v>0.4804775</v>
      </c>
      <c r="R28" s="30">
        <v>3.2031999999999998E-2</v>
      </c>
      <c r="S28" s="30">
        <v>0.85805089999999995</v>
      </c>
      <c r="T28" s="2" t="s">
        <v>106</v>
      </c>
      <c r="U28" s="2" t="s">
        <v>88</v>
      </c>
    </row>
    <row r="29" spans="2:21" ht="18.45" customHeight="1" x14ac:dyDescent="0.4">
      <c r="B29" s="5" t="s">
        <v>69</v>
      </c>
      <c r="C29" s="9">
        <f>L27</f>
        <v>-2.5956E-3</v>
      </c>
      <c r="D29" s="9">
        <f t="shared" ref="D29:J29" si="11">M27</f>
        <v>0.66573610000000005</v>
      </c>
      <c r="E29" s="9">
        <f t="shared" si="11"/>
        <v>0.77124159999999997</v>
      </c>
      <c r="F29" s="9">
        <f t="shared" si="11"/>
        <v>0.463148</v>
      </c>
      <c r="G29" s="9">
        <f t="shared" si="11"/>
        <v>0.93835020000000002</v>
      </c>
      <c r="H29" s="9">
        <f t="shared" si="11"/>
        <v>0.33330749999999998</v>
      </c>
      <c r="I29" s="9">
        <f t="shared" si="11"/>
        <v>0.4033175</v>
      </c>
      <c r="J29" s="9">
        <f t="shared" si="11"/>
        <v>0.52575519999999998</v>
      </c>
      <c r="L29" s="29">
        <v>3.3286000000000001E-3</v>
      </c>
      <c r="M29" s="29">
        <v>1.3813138</v>
      </c>
      <c r="N29" s="29">
        <v>2.3263761999999999</v>
      </c>
      <c r="O29" s="29">
        <v>9.8918099999999995E-2</v>
      </c>
      <c r="P29" s="29">
        <v>2.4573342999999999</v>
      </c>
      <c r="Q29" s="29">
        <v>0.11773749999999999</v>
      </c>
      <c r="R29" s="29">
        <v>0.57669400000000004</v>
      </c>
      <c r="S29" s="29">
        <v>0.4480402</v>
      </c>
      <c r="T29" s="2" t="s">
        <v>104</v>
      </c>
      <c r="U29" s="2" t="s">
        <v>89</v>
      </c>
    </row>
    <row r="30" spans="2:21" ht="18.45" customHeight="1" x14ac:dyDescent="0.4">
      <c r="B30" s="8" t="s">
        <v>68</v>
      </c>
      <c r="C30" s="10">
        <f>L28</f>
        <v>-3.2496999999999999E-3</v>
      </c>
      <c r="D30" s="10">
        <f t="shared" ref="D30:J30" si="12">M28</f>
        <v>0.89377180000000001</v>
      </c>
      <c r="E30" s="10">
        <f t="shared" si="12"/>
        <v>0.28869800000000001</v>
      </c>
      <c r="F30" s="10">
        <f t="shared" si="12"/>
        <v>0.74939960000000005</v>
      </c>
      <c r="G30" s="10">
        <f t="shared" si="12"/>
        <v>0.49874400000000002</v>
      </c>
      <c r="H30" s="10">
        <f t="shared" si="12"/>
        <v>0.4804775</v>
      </c>
      <c r="I30" s="10">
        <f t="shared" si="12"/>
        <v>3.2031999999999998E-2</v>
      </c>
      <c r="J30" s="10">
        <f t="shared" si="12"/>
        <v>0.85805089999999995</v>
      </c>
      <c r="L30" s="29">
        <v>4.2459999999999998E-3</v>
      </c>
      <c r="M30" s="29">
        <v>1.8752196000000001</v>
      </c>
      <c r="N30" s="29">
        <v>3.6635336999999999</v>
      </c>
      <c r="O30" s="29">
        <v>2.6472599999999999E-2</v>
      </c>
      <c r="P30" s="29">
        <v>2.5609766</v>
      </c>
      <c r="Q30" s="29">
        <v>0.11029</v>
      </c>
      <c r="R30" s="29">
        <v>2.1159512</v>
      </c>
      <c r="S30" s="29">
        <v>0.14652370000000001</v>
      </c>
      <c r="T30" s="2" t="s">
        <v>105</v>
      </c>
      <c r="U30" s="2" t="s">
        <v>89</v>
      </c>
    </row>
    <row r="31" spans="2:21" ht="10.199999999999999" customHeight="1" x14ac:dyDescent="0.4">
      <c r="B31" s="5"/>
      <c r="C31" s="11"/>
      <c r="D31" s="11"/>
      <c r="E31" s="11"/>
      <c r="F31" s="11"/>
      <c r="G31" s="11"/>
      <c r="H31" s="11"/>
      <c r="I31" s="11"/>
      <c r="J31" s="11"/>
      <c r="L31" s="30">
        <v>7.5745999999999999E-3</v>
      </c>
      <c r="M31" s="30">
        <v>3.2565335000000002</v>
      </c>
      <c r="N31" s="30">
        <v>5.5875754999999998</v>
      </c>
      <c r="O31" s="30">
        <v>4.0305999999999996E-3</v>
      </c>
      <c r="P31" s="30">
        <v>2.7224664000000001</v>
      </c>
      <c r="Q31" s="30">
        <v>9.9699800000000005E-2</v>
      </c>
      <c r="R31" s="30">
        <v>4.0786341999999998</v>
      </c>
      <c r="S31" s="30">
        <v>4.40679E-2</v>
      </c>
      <c r="T31" s="2" t="s">
        <v>106</v>
      </c>
      <c r="U31" s="2" t="s">
        <v>89</v>
      </c>
    </row>
    <row r="32" spans="2:21" ht="18.45" customHeight="1" x14ac:dyDescent="0.4">
      <c r="B32" s="8"/>
      <c r="C32" s="14" t="s">
        <v>103</v>
      </c>
      <c r="D32" s="14"/>
      <c r="E32" s="14"/>
      <c r="F32" s="14"/>
      <c r="G32" s="14"/>
      <c r="H32" s="14"/>
      <c r="I32" s="14"/>
      <c r="J32" s="14"/>
    </row>
    <row r="33" spans="2:10" ht="18.45" customHeight="1" x14ac:dyDescent="0.4">
      <c r="B33" s="5" t="s">
        <v>70</v>
      </c>
      <c r="C33" s="9">
        <f>L29</f>
        <v>3.3286000000000001E-3</v>
      </c>
      <c r="D33" s="9">
        <f t="shared" ref="D33:J33" si="13">M29</f>
        <v>1.3813138</v>
      </c>
      <c r="E33" s="9">
        <f t="shared" si="13"/>
        <v>2.3263761999999999</v>
      </c>
      <c r="F33" s="9">
        <f t="shared" si="13"/>
        <v>9.8918099999999995E-2</v>
      </c>
      <c r="G33" s="9">
        <f t="shared" si="13"/>
        <v>2.4573342999999999</v>
      </c>
      <c r="H33" s="9">
        <f t="shared" si="13"/>
        <v>0.11773749999999999</v>
      </c>
      <c r="I33" s="9">
        <f t="shared" si="13"/>
        <v>0.57669400000000004</v>
      </c>
      <c r="J33" s="9">
        <f t="shared" si="13"/>
        <v>0.4480402</v>
      </c>
    </row>
    <row r="34" spans="2:10" ht="18.45" customHeight="1" x14ac:dyDescent="0.4">
      <c r="B34" s="5" t="s">
        <v>69</v>
      </c>
      <c r="C34" s="9">
        <f>L30</f>
        <v>4.2459999999999998E-3</v>
      </c>
      <c r="D34" s="9">
        <f t="shared" ref="D34:J34" si="14">M30</f>
        <v>1.8752196000000001</v>
      </c>
      <c r="E34" s="9">
        <f t="shared" si="14"/>
        <v>3.6635336999999999</v>
      </c>
      <c r="F34" s="33">
        <f t="shared" si="14"/>
        <v>2.6472599999999999E-2</v>
      </c>
      <c r="G34" s="9">
        <f t="shared" si="14"/>
        <v>2.5609766</v>
      </c>
      <c r="H34" s="9">
        <f t="shared" si="14"/>
        <v>0.11029</v>
      </c>
      <c r="I34" s="9">
        <f t="shared" si="14"/>
        <v>2.1159512</v>
      </c>
      <c r="J34" s="9">
        <f t="shared" si="14"/>
        <v>0.14652370000000001</v>
      </c>
    </row>
    <row r="35" spans="2:10" ht="18.45" customHeight="1" x14ac:dyDescent="0.4">
      <c r="B35" s="8" t="s">
        <v>68</v>
      </c>
      <c r="C35" s="10">
        <f>L31</f>
        <v>7.5745999999999999E-3</v>
      </c>
      <c r="D35" s="10">
        <f t="shared" ref="D35:J35" si="15">M31</f>
        <v>3.2565335000000002</v>
      </c>
      <c r="E35" s="10">
        <f t="shared" si="15"/>
        <v>5.5875754999999998</v>
      </c>
      <c r="F35" s="32">
        <f t="shared" si="15"/>
        <v>4.0305999999999996E-3</v>
      </c>
      <c r="G35" s="10">
        <f t="shared" si="15"/>
        <v>2.7224664000000001</v>
      </c>
      <c r="H35" s="10">
        <f t="shared" si="15"/>
        <v>9.9699800000000005E-2</v>
      </c>
      <c r="I35" s="10">
        <f t="shared" si="15"/>
        <v>4.0786341999999998</v>
      </c>
      <c r="J35" s="32">
        <f t="shared" si="15"/>
        <v>4.40679E-2</v>
      </c>
    </row>
    <row r="36" spans="2:10" ht="18.45" customHeight="1" x14ac:dyDescent="0.4"/>
    <row r="37" spans="2:10" ht="18.45" customHeight="1" x14ac:dyDescent="0.4"/>
  </sheetData>
  <mergeCells count="10">
    <mergeCell ref="E20:F20"/>
    <mergeCell ref="G20:J20"/>
    <mergeCell ref="C22:J22"/>
    <mergeCell ref="C27:J27"/>
    <mergeCell ref="C32:J32"/>
    <mergeCell ref="C9:J9"/>
    <mergeCell ref="C14:J14"/>
    <mergeCell ref="E2:F2"/>
    <mergeCell ref="C4:J4"/>
    <mergeCell ref="G2:J2"/>
  </mergeCells>
  <phoneticPr fontId="2" type="noConversion"/>
  <conditionalFormatting sqref="O3:O11">
    <cfRule type="cellIs" dxfId="10" priority="6" operator="lessThan">
      <formula>0.05</formula>
    </cfRule>
  </conditionalFormatting>
  <conditionalFormatting sqref="S3:S11">
    <cfRule type="cellIs" dxfId="9" priority="5" operator="lessThan">
      <formula>0.05</formula>
    </cfRule>
  </conditionalFormatting>
  <conditionalFormatting sqref="O23:O31">
    <cfRule type="cellIs" dxfId="8" priority="4" operator="lessThan">
      <formula>0.05</formula>
    </cfRule>
    <cfRule type="cellIs" dxfId="7" priority="2" operator="lessThan">
      <formula>0.05</formula>
    </cfRule>
  </conditionalFormatting>
  <conditionalFormatting sqref="S23:S31">
    <cfRule type="cellIs" dxfId="0" priority="3" operator="lessThan">
      <formula>0.05</formula>
    </cfRule>
    <cfRule type="cellIs" dxfId="1" priority="1" operator="lessThan">
      <formula>0.05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757A6-AAC2-432C-B8A9-C9DAC4DB932F}">
  <dimension ref="B2:G29"/>
  <sheetViews>
    <sheetView tabSelected="1" zoomScale="110" zoomScaleNormal="110" workbookViewId="0">
      <selection activeCell="I16" sqref="I16"/>
    </sheetView>
  </sheetViews>
  <sheetFormatPr defaultRowHeight="14.4" customHeight="1" x14ac:dyDescent="0.4"/>
  <cols>
    <col min="1" max="1" width="8.796875" style="38"/>
    <col min="2" max="2" width="13.69921875" style="38" customWidth="1"/>
    <col min="3" max="3" width="9.59765625" style="39" customWidth="1"/>
    <col min="4" max="7" width="9.59765625" style="38" customWidth="1"/>
    <col min="8" max="16384" width="8.796875" style="38"/>
  </cols>
  <sheetData>
    <row r="2" spans="2:7" ht="14.4" customHeight="1" x14ac:dyDescent="0.4">
      <c r="B2" s="16"/>
      <c r="C2" s="17" t="s">
        <v>92</v>
      </c>
      <c r="D2" s="17"/>
      <c r="E2" s="17"/>
      <c r="F2" s="17" t="s">
        <v>93</v>
      </c>
      <c r="G2" s="17"/>
    </row>
    <row r="3" spans="2:7" ht="14.4" customHeight="1" x14ac:dyDescent="0.4">
      <c r="B3" s="18" t="s">
        <v>94</v>
      </c>
      <c r="C3" s="21" t="s">
        <v>101</v>
      </c>
      <c r="D3" s="21" t="s">
        <v>95</v>
      </c>
      <c r="E3" s="19" t="s">
        <v>96</v>
      </c>
      <c r="F3" s="21" t="s">
        <v>95</v>
      </c>
      <c r="G3" s="21" t="s">
        <v>96</v>
      </c>
    </row>
    <row r="4" spans="2:7" ht="14.4" customHeight="1" x14ac:dyDescent="0.4">
      <c r="B4" s="14" t="s">
        <v>102</v>
      </c>
      <c r="C4" s="14"/>
      <c r="D4" s="14"/>
      <c r="E4" s="14"/>
      <c r="F4" s="14"/>
      <c r="G4" s="14"/>
    </row>
    <row r="5" spans="2:7" ht="14.4" customHeight="1" thickBot="1" x14ac:dyDescent="0.45">
      <c r="B5" s="34" t="s">
        <v>97</v>
      </c>
      <c r="C5" s="35">
        <v>8.0768433932497496E-2</v>
      </c>
      <c r="D5" s="35">
        <v>0.65479485333551202</v>
      </c>
      <c r="E5" s="35">
        <v>5.2886754850968699E-2</v>
      </c>
      <c r="F5" s="35">
        <v>0.62536542669485495</v>
      </c>
      <c r="G5" s="35">
        <v>4.8239649181306202E-2</v>
      </c>
    </row>
    <row r="6" spans="2:7" ht="14.4" customHeight="1" thickBot="1" x14ac:dyDescent="0.45">
      <c r="B6" s="36" t="s">
        <v>98</v>
      </c>
      <c r="C6" s="37">
        <v>8.63211617308004E-2</v>
      </c>
      <c r="D6" s="37">
        <v>0.70412984780896504</v>
      </c>
      <c r="E6" s="37">
        <v>6.07813064722015E-2</v>
      </c>
      <c r="F6" s="37">
        <v>0.625290003325913</v>
      </c>
      <c r="G6" s="37">
        <v>4.7932214399083399E-2</v>
      </c>
    </row>
    <row r="7" spans="2:7" s="42" customFormat="1" ht="14.4" customHeight="1" thickBot="1" x14ac:dyDescent="0.45">
      <c r="B7" s="43"/>
      <c r="C7" s="44">
        <f>C6-C$5</f>
        <v>5.5527277983029033E-3</v>
      </c>
      <c r="D7" s="44"/>
      <c r="E7" s="44"/>
      <c r="F7" s="44">
        <f>F6-F$5</f>
        <v>-7.5423368941951452E-5</v>
      </c>
      <c r="G7" s="44">
        <f>G6-G$5</f>
        <v>-3.0743478222280268E-4</v>
      </c>
    </row>
    <row r="8" spans="2:7" ht="14.4" customHeight="1" thickBot="1" x14ac:dyDescent="0.45">
      <c r="B8" s="36" t="s">
        <v>99</v>
      </c>
      <c r="C8" s="37">
        <v>8.2166905165973803E-2</v>
      </c>
      <c r="D8" s="37">
        <v>0.67543623801253005</v>
      </c>
      <c r="E8" s="37">
        <v>5.5498505314437702E-2</v>
      </c>
      <c r="F8" s="37">
        <v>0.623821861698173</v>
      </c>
      <c r="G8" s="37">
        <v>4.7340600101080599E-2</v>
      </c>
    </row>
    <row r="9" spans="2:7" s="42" customFormat="1" ht="14.4" customHeight="1" thickBot="1" x14ac:dyDescent="0.45">
      <c r="B9" s="43"/>
      <c r="C9" s="44">
        <f>C8-C$5</f>
        <v>1.3984712334763061E-3</v>
      </c>
      <c r="D9" s="44"/>
      <c r="E9" s="44"/>
      <c r="F9" s="44">
        <f>F8-F$5</f>
        <v>-1.5435649966819565E-3</v>
      </c>
      <c r="G9" s="44">
        <f>G8-G$5</f>
        <v>-8.9904908022560293E-4</v>
      </c>
    </row>
    <row r="10" spans="2:7" ht="14.4" customHeight="1" thickBot="1" x14ac:dyDescent="0.45">
      <c r="B10" s="36" t="s">
        <v>100</v>
      </c>
      <c r="C10" s="37">
        <v>8.8173753304040897E-2</v>
      </c>
      <c r="D10" s="37">
        <v>0.70237218507369203</v>
      </c>
      <c r="E10" s="37">
        <v>6.1930791774307901E-2</v>
      </c>
      <c r="F10" s="37">
        <v>0.62203727374124895</v>
      </c>
      <c r="G10" s="37">
        <v>4.8574108808654599E-2</v>
      </c>
    </row>
    <row r="11" spans="2:7" s="42" customFormat="1" ht="14.4" customHeight="1" x14ac:dyDescent="0.4">
      <c r="B11" s="45"/>
      <c r="C11" s="46">
        <f>C10-C$5</f>
        <v>7.4053193715434007E-3</v>
      </c>
      <c r="D11" s="46"/>
      <c r="E11" s="46"/>
      <c r="F11" s="46">
        <f>F10-F$5</f>
        <v>-3.3281529536060006E-3</v>
      </c>
      <c r="G11" s="46">
        <f>G10-G$5</f>
        <v>3.3445962734839768E-4</v>
      </c>
    </row>
    <row r="12" spans="2:7" ht="14.4" customHeight="1" x14ac:dyDescent="0.4">
      <c r="B12" s="22"/>
      <c r="C12" s="22"/>
      <c r="D12" s="22"/>
      <c r="E12" s="22"/>
      <c r="F12" s="22"/>
      <c r="G12" s="22"/>
    </row>
    <row r="13" spans="2:7" ht="14.4" customHeight="1" x14ac:dyDescent="0.4">
      <c r="B13" s="14" t="s">
        <v>109</v>
      </c>
      <c r="C13" s="14"/>
      <c r="D13" s="14"/>
      <c r="E13" s="14"/>
      <c r="F13" s="14"/>
      <c r="G13" s="14"/>
    </row>
    <row r="14" spans="2:7" s="39" customFormat="1" ht="14.4" customHeight="1" thickBot="1" x14ac:dyDescent="0.45">
      <c r="B14" s="34" t="s">
        <v>97</v>
      </c>
      <c r="C14" s="35">
        <v>0.123123290478347</v>
      </c>
      <c r="D14" s="35">
        <v>0.450258809877772</v>
      </c>
      <c r="E14" s="35">
        <v>5.5437346239015702E-2</v>
      </c>
      <c r="F14" s="35">
        <v>0.44537996777318201</v>
      </c>
      <c r="G14" s="35">
        <v>5.4242457088798102E-2</v>
      </c>
    </row>
    <row r="15" spans="2:7" s="39" customFormat="1" ht="14.4" customHeight="1" thickBot="1" x14ac:dyDescent="0.45">
      <c r="B15" s="36" t="s">
        <v>98</v>
      </c>
      <c r="C15" s="37">
        <v>0.124165690291535</v>
      </c>
      <c r="D15" s="37">
        <v>0.45917925704489598</v>
      </c>
      <c r="E15" s="37">
        <v>5.7014309418533797E-2</v>
      </c>
      <c r="F15" s="37">
        <v>0.44380244716157802</v>
      </c>
      <c r="G15" s="37">
        <v>5.3259701934685398E-2</v>
      </c>
    </row>
    <row r="16" spans="2:7" s="47" customFormat="1" ht="14.4" customHeight="1" thickBot="1" x14ac:dyDescent="0.45">
      <c r="B16" s="48"/>
      <c r="C16" s="44">
        <f>C15-C14</f>
        <v>1.0423998131880025E-3</v>
      </c>
      <c r="D16" s="44"/>
      <c r="E16" s="44"/>
      <c r="F16" s="44">
        <f>F15-F14</f>
        <v>-1.5775206116039886E-3</v>
      </c>
      <c r="G16" s="44">
        <f>G15-G14</f>
        <v>-9.8275515411270359E-4</v>
      </c>
    </row>
    <row r="17" spans="2:7" s="39" customFormat="1" ht="14.4" customHeight="1" thickBot="1" x14ac:dyDescent="0.45">
      <c r="B17" s="36" t="s">
        <v>99</v>
      </c>
      <c r="C17" s="37">
        <v>0.13316004549468599</v>
      </c>
      <c r="D17" s="37">
        <v>0.49293462211989297</v>
      </c>
      <c r="E17" s="37">
        <v>6.5639196707390796E-2</v>
      </c>
      <c r="F17" s="37">
        <v>0.44519162940661799</v>
      </c>
      <c r="G17" s="37">
        <v>5.35400277771544E-2</v>
      </c>
    </row>
    <row r="18" spans="2:7" s="42" customFormat="1" ht="14.4" customHeight="1" thickBot="1" x14ac:dyDescent="0.45">
      <c r="B18" s="43"/>
      <c r="C18" s="44">
        <f>C17-C14</f>
        <v>1.0036755016338994E-2</v>
      </c>
      <c r="D18" s="44"/>
      <c r="E18" s="44"/>
      <c r="F18" s="44">
        <f>F17-F14</f>
        <v>-1.8833836656401148E-4</v>
      </c>
      <c r="G18" s="44">
        <f>G17-G14</f>
        <v>-7.0242931164370137E-4</v>
      </c>
    </row>
    <row r="19" spans="2:7" s="39" customFormat="1" ht="14.4" customHeight="1" thickBot="1" x14ac:dyDescent="0.45">
      <c r="B19" s="40" t="s">
        <v>100</v>
      </c>
      <c r="C19" s="41">
        <v>0.14077723255392499</v>
      </c>
      <c r="D19" s="41">
        <v>0.48555062580369801</v>
      </c>
      <c r="E19" s="41">
        <v>6.8354473365471194E-2</v>
      </c>
      <c r="F19" s="41">
        <v>0.44262440040256101</v>
      </c>
      <c r="G19" s="41">
        <v>5.5135724267451801E-2</v>
      </c>
    </row>
    <row r="20" spans="2:7" s="42" customFormat="1" ht="14.4" customHeight="1" x14ac:dyDescent="0.4">
      <c r="B20" s="45"/>
      <c r="C20" s="46">
        <f>C19-C14</f>
        <v>1.7653942075577994E-2</v>
      </c>
      <c r="D20" s="46"/>
      <c r="E20" s="46"/>
      <c r="F20" s="46">
        <f>F19-F14</f>
        <v>-2.7555673706209927E-3</v>
      </c>
      <c r="G20" s="46">
        <f>G19-G14</f>
        <v>8.9326717865369915E-4</v>
      </c>
    </row>
    <row r="21" spans="2:7" ht="14.4" customHeight="1" x14ac:dyDescent="0.4">
      <c r="B21" s="16"/>
      <c r="C21" s="20"/>
      <c r="D21" s="16"/>
      <c r="E21" s="16"/>
      <c r="F21" s="16"/>
      <c r="G21" s="16"/>
    </row>
    <row r="22" spans="2:7" ht="14.4" customHeight="1" x14ac:dyDescent="0.4">
      <c r="B22" s="14" t="s">
        <v>103</v>
      </c>
      <c r="C22" s="14"/>
      <c r="D22" s="14"/>
      <c r="E22" s="14"/>
      <c r="F22" s="14"/>
      <c r="G22" s="14"/>
    </row>
    <row r="23" spans="2:7" s="39" customFormat="1" ht="14.4" customHeight="1" thickBot="1" x14ac:dyDescent="0.45">
      <c r="B23" s="34" t="s">
        <v>97</v>
      </c>
      <c r="C23" s="35">
        <v>6.3153034617884005E-2</v>
      </c>
      <c r="D23" s="35">
        <v>0.84562628925204397</v>
      </c>
      <c r="E23" s="35">
        <v>5.3403866318927101E-2</v>
      </c>
      <c r="F23" s="35">
        <v>0.755785368728493</v>
      </c>
      <c r="G23" s="35">
        <v>4.2659199458867897E-2</v>
      </c>
    </row>
    <row r="24" spans="2:7" s="39" customFormat="1" ht="14.4" customHeight="1" thickBot="1" x14ac:dyDescent="0.45">
      <c r="B24" s="36" t="s">
        <v>98</v>
      </c>
      <c r="C24" s="37">
        <v>0.104187073285813</v>
      </c>
      <c r="D24" s="37">
        <v>1.55931529270532</v>
      </c>
      <c r="E24" s="37">
        <v>0.16246049667677701</v>
      </c>
      <c r="F24" s="37">
        <v>0.75384777720155405</v>
      </c>
      <c r="G24" s="37">
        <v>3.7970579585937303E-2</v>
      </c>
    </row>
    <row r="25" spans="2:7" s="49" customFormat="1" ht="14.4" customHeight="1" thickBot="1" x14ac:dyDescent="0.45">
      <c r="B25" s="48"/>
      <c r="C25" s="44">
        <f>C24-C23</f>
        <v>4.1034038667928999E-2</v>
      </c>
      <c r="D25" s="44"/>
      <c r="E25" s="44"/>
      <c r="F25" s="44">
        <f>F24-F23</f>
        <v>-1.9375915269389532E-3</v>
      </c>
      <c r="G25" s="44">
        <f>G24-G23</f>
        <v>-4.6886198729305939E-3</v>
      </c>
    </row>
    <row r="26" spans="2:7" s="39" customFormat="1" ht="14.4" customHeight="1" thickBot="1" x14ac:dyDescent="0.45">
      <c r="B26" s="36" t="s">
        <v>99</v>
      </c>
      <c r="C26" s="37">
        <v>0.104670861970472</v>
      </c>
      <c r="D26" s="37">
        <v>1.73526879427953</v>
      </c>
      <c r="E26" s="37">
        <v>0.18163208044770099</v>
      </c>
      <c r="F26" s="37">
        <v>0.74947494933652603</v>
      </c>
      <c r="G26" s="37">
        <v>3.3882331002741101E-2</v>
      </c>
    </row>
    <row r="27" spans="2:7" s="49" customFormat="1" ht="14.4" customHeight="1" thickBot="1" x14ac:dyDescent="0.45">
      <c r="B27" s="43"/>
      <c r="C27" s="44">
        <f>C26-C23</f>
        <v>4.1517827352587994E-2</v>
      </c>
      <c r="D27" s="44"/>
      <c r="E27" s="44"/>
      <c r="F27" s="44">
        <f>F26-F23</f>
        <v>-6.3104193919669704E-3</v>
      </c>
      <c r="G27" s="44">
        <f>G26-G23</f>
        <v>-8.7768684561267962E-3</v>
      </c>
    </row>
    <row r="28" spans="2:7" s="39" customFormat="1" ht="14.4" customHeight="1" thickBot="1" x14ac:dyDescent="0.45">
      <c r="B28" s="36" t="s">
        <v>100</v>
      </c>
      <c r="C28" s="37">
        <v>0.107601286332745</v>
      </c>
      <c r="D28" s="37">
        <v>1.7252324410794799</v>
      </c>
      <c r="E28" s="37">
        <v>0.185637229883133</v>
      </c>
      <c r="F28" s="37">
        <v>0.74805762860206304</v>
      </c>
      <c r="G28" s="37">
        <v>3.49011674189895E-2</v>
      </c>
    </row>
    <row r="29" spans="2:7" s="49" customFormat="1" ht="14.4" customHeight="1" x14ac:dyDescent="0.4">
      <c r="B29" s="45"/>
      <c r="C29" s="46">
        <f>C28-C23</f>
        <v>4.4448251714860998E-2</v>
      </c>
      <c r="D29" s="46"/>
      <c r="E29" s="46"/>
      <c r="F29" s="46">
        <f>F28-F23</f>
        <v>-7.7277401264299606E-3</v>
      </c>
      <c r="G29" s="46">
        <f>G28-G23</f>
        <v>-7.7580320398783972E-3</v>
      </c>
    </row>
  </sheetData>
  <mergeCells count="5">
    <mergeCell ref="C2:E2"/>
    <mergeCell ref="F2:G2"/>
    <mergeCell ref="B4:G4"/>
    <mergeCell ref="B13:G13"/>
    <mergeCell ref="B22:G2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ivy10</vt:lpstr>
      <vt:lpstr>yale</vt:lpstr>
      <vt:lpstr>harvard</vt:lpstr>
      <vt:lpstr>test</vt:lpstr>
      <vt:lpstr>eff_line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na 2017 ha</cp:lastModifiedBy>
  <cp:revision/>
  <cp:lastPrinted>2022-02-17T12:50:52Z</cp:lastPrinted>
  <dcterms:created xsi:type="dcterms:W3CDTF">2021-12-26T10:45:52Z</dcterms:created>
  <dcterms:modified xsi:type="dcterms:W3CDTF">2022-02-21T12:37:27Z</dcterms:modified>
  <cp:category/>
  <cp:contentStatus/>
</cp:coreProperties>
</file>